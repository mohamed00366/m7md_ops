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_x1.xml" ContentType="application/vnd.openxmlformats-officedocument.spreadsheetml.worksheet+xml"/>
  <Override PartName="/xl/worksheets/sheet_x2.xml" ContentType="application/vnd.openxmlformats-officedocument.spreadsheetml.worksheet+xml"/>
  <Override PartName="/xl/worksheets/sheet_x3.xml" ContentType="application/vnd.openxmlformats-officedocument.spreadsheetml.worksheet+xml"/>
  <Override PartName="/xl/worksheets/sheet_x4.xml" ContentType="application/vnd.openxmlformats-officedocument.spreadsheetml.worksheet+xml"/>
  <Override PartName="/xl/worksheets/sheet_x5.xml" ContentType="application/vnd.openxmlformats-officedocument.spreadsheetml.worksheet+xml"/>
  <Override PartName="/xl/worksheets/sheet_x6.xml" ContentType="application/vnd.openxmlformats-officedocument.spreadsheetml.worksheet+xml"/>
  <Override PartName="/xl/worksheets/sheet_x7.xml" ContentType="application/vnd.openxmlformats-officedocument.spreadsheetml.worksheet+xml"/>
  <Override PartName="/xl/worksheets/sheet_x8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All invoices" sheetId="2" r:id="rId1"/>
    <sheet name="Cash" sheetId="3" r:id="rId100"/>
    <sheet name="Card" sheetId="4" r:id="rId101"/>
    <sheet name="Free" sheetId="5" r:id="rId102"/>
    <sheet name="Unpaid" sheetId="6" r:id="rId103"/>
    <sheet name="Credit notes" sheetId="7" r:id="rId104"/>
    <sheet name="Other invoices" sheetId="8" r:id="rId105"/>
    <sheet name="Summary" sheetId="9" r:id="rId106"/>
    <sheet name="About" sheetId="10" r:id="rId107"/>
  </sheets>
  <definedNames>
    <definedName name="ExternalData_1" localSheetId="0" hidden="1">'All invoices'!$A$1:$Y$2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Invoices" description="Connection to the 'Invoices' query in the workbook." type="5" refreshedVersion="7" background="1" saveData="1" interval="5">
    <dbPr connection="Provider=Microsoft.Mashup.OleDb.1;Data Source=$Workbook$;Location=&quot;Invoices&quot;;" command="SELECT * FROM [Invoices]" refreshOnLoad="1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<sst xmlns="http://schemas.openxmlformats.org/spreadsheetml/2006/main" count="3" uniqueCount="3">
  <si>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Query1</t>
  </si>
  <si>
    <t/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</si>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</sst>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"/>
    <numFmt numFmtId="165" formatCode="yyyy-mm-dd"/>
  </numFmts>
  <fonts count="3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  <font>
      <b/>
      <sz val="1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00" Type="http://schemas.openxmlformats.org/officeDocument/2006/relationships/worksheet" Target="worksheets/sheet_x1.xml"/><Relationship Id="rId101" Type="http://schemas.openxmlformats.org/officeDocument/2006/relationships/worksheet" Target="worksheets/sheet_x2.xml"/><Relationship Id="rId102" Type="http://schemas.openxmlformats.org/officeDocument/2006/relationships/worksheet" Target="worksheets/sheet_x3.xml"/><Relationship Id="rId103" Type="http://schemas.openxmlformats.org/officeDocument/2006/relationships/worksheet" Target="worksheets/sheet_x4.xml"/><Relationship Id="rId104" Type="http://schemas.openxmlformats.org/officeDocument/2006/relationships/worksheet" Target="worksheets/sheet_x5.xml"/><Relationship Id="rId105" Type="http://schemas.openxmlformats.org/officeDocument/2006/relationships/worksheet" Target="worksheets/sheet_x6.xml"/><Relationship Id="rId106" Type="http://schemas.openxmlformats.org/officeDocument/2006/relationships/worksheet" Target="worksheets/sheet_x7.xml"/><Relationship Id="rId107" Type="http://schemas.openxmlformats.org/officeDocument/2006/relationships/worksheet" Target="worksheets/sheet_x8.xml"/><Relationship Id="rId108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6">
    <queryTableFields count="25">
      <queryTableField id="1" name="Invoice" tableColumnId="1"/>
      <queryTableField id="2" name="Type" tableColumnId="2"/>
      <queryTableField id="3" name="Journal" tableColumnId="3"/>
      <queryTableField id="4" name="Status" tableColumnId="4"/>
      <queryTableField id="5" name="Invoice date" tableColumnId="5"/>
      <queryTableField id="6" name="Due date" tableColumnId="6"/>
      <queryTableField id="7" name="Customer" tableColumnId="7"/>
      <queryTableField id="8" name="Reference" tableColumnId="8"/>
      <queryTableField id="9" name="Untaxed" tableColumnId="9"/>
      <queryTableField id="10" name="VAT" tableColumnId="10"/>
      <queryTableField id="11" name="Total" tableColumnId="11"/>
      <queryTableField id="12" name="Amount due" tableColumnId="12"/>
      <queryTableField id="13" name="Payment status" tableColumnId="13"/>
      <queryTableField id="14" name="Payment method" tableColumnId="14"/>
      <queryTableField id="15" name="Paid via" tableColumnId="15"/>
      <queryTableField id="16" name="Paid on" tableColumnId="16"/>
      <queryTableField id="17" name="Valet" tableColumnId="17"/>
      <queryTableField id="18" name="Ticket" tableColumnId="18"/>
      <queryTableField id="19" name="Point" tableColumnId="19"/>
      <queryTableField id="20" name="Area" tableColumnId="20"/>
      <queryTableField id="21" name="Client" tableColumnId="21"/>
      <queryTableField id="22" name="Currency" tableColumnId="22"/>
      <queryTableField id="23" name="Created" tableColumnId="23"/>
      <queryTableField id="24" name="Updated" tableColumnId="24"/>
      <queryTableField id="25" name="Odoo I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Invoices" displayName="Invoices" ref="A1:Y2" tableType="queryTable" totalsRowShown="0">
  <autoFilter ref="A1:Y2" xr:uid="{D8539CF6-04E5-464D-9950-5A36C5A1FCFE}"/>
  <tableColumns count="25">
    <tableColumn id="1" name="Invoice" xr3:uid="{29D078BA-9ED2-4A4E-8A64-5F14905F6AC8}" uniqueName="1" queryTableFieldId="1"/>
    <tableColumn id="2" name="Type" xr3:uid="{F8CDC852-627C-4727-B87C-EBA0B02C8FBB}" uniqueName="2" queryTableFieldId="2"/>
    <tableColumn id="3" name="Journal" xr3:uid="{4072FB05-DE8F-43BA-BD5B-4BB622F61636}" uniqueName="3" queryTableFieldId="3"/>
    <tableColumn id="4" name="Status" xr3:uid="{97810036-227E-466B-BE25-CC5DD02732E1}" uniqueName="4" queryTableFieldId="4"/>
    <tableColumn id="5" name="Invoice date" xr3:uid="{942BF0EC-5BD8-4C36-B964-B0B4CA5245FB}" uniqueName="5" queryTableFieldId="5"/>
    <tableColumn id="6" name="Due date" xr3:uid="{6E4B2A06-2E52-4733-A89B-E7C17C76AC77}" uniqueName="6" queryTableFieldId="6"/>
    <tableColumn id="7" name="Customer" xr3:uid="{2F354235-F92E-42A0-A3E8-55F7DDD7CF4D}" uniqueName="7" queryTableFieldId="7"/>
    <tableColumn id="8" name="Reference" xr3:uid="{968DCAB6-7E71-4DC3-ADA2-1236B5B5E244}" uniqueName="8" queryTableFieldId="8"/>
    <tableColumn id="9" name="Untaxed" xr3:uid="{21022F89-B88B-49C2-83EF-EC5314A6338D}" uniqueName="9" queryTableFieldId="9"/>
    <tableColumn id="10" name="VAT" xr3:uid="{5048562E-01E4-4FD4-9163-3897297775B6}" uniqueName="10" queryTableFieldId="10"/>
    <tableColumn id="11" name="Total" xr3:uid="{82BD25BC-03D6-4856-B2CF-3FD9E86E3C68}" uniqueName="11" queryTableFieldId="11"/>
    <tableColumn id="12" name="Amount due" xr3:uid="{6B0A42EC-0C54-4E7D-BD05-59363983AF11}" uniqueName="12" queryTableFieldId="12"/>
    <tableColumn id="13" name="Payment status" xr3:uid="{BB5BD665-88F5-45F8-AC51-BC460323F46C}" uniqueName="13" queryTableFieldId="13"/>
    <tableColumn id="14" name="Payment method" xr3:uid="{8116F532-03B2-4518-9751-99D7EC769CA8}" uniqueName="14" queryTableFieldId="14"/>
    <tableColumn id="15" name="Paid via" xr3:uid="{546A2158-C76D-4249-AFB2-0E0467CA7CEF}" uniqueName="15" queryTableFieldId="15"/>
    <tableColumn id="16" name="Paid on" xr3:uid="{128FADD0-CC44-4ABA-B3CC-CB07AF2F79CC}" uniqueName="16" queryTableFieldId="16"/>
    <tableColumn id="17" name="Valet" xr3:uid="{B7E4B08F-F035-4C40-9778-83D4F110ADFC}" uniqueName="17" queryTableFieldId="17"/>
    <tableColumn id="18" name="Ticket" xr3:uid="{1DE2F4EA-BC01-4521-86AF-D5075ED0D8EC}" uniqueName="18" queryTableFieldId="18"/>
    <tableColumn id="19" name="Point" xr3:uid="{E04572C2-1865-4D1D-B91B-55CD1C7FA737}" uniqueName="19" queryTableFieldId="19"/>
    <tableColumn id="20" name="Area" xr3:uid="{8307906D-6459-4AF8-8AF8-AFCC3D204FF0}" uniqueName="20" queryTableFieldId="20"/>
    <tableColumn id="21" name="Client" xr3:uid="{FA28D192-B9B0-4AEF-AB52-1631289B512C}" uniqueName="21" queryTableFieldId="21"/>
    <tableColumn id="22" name="Currency" xr3:uid="{3953A1BA-577C-4B2C-B65B-2CA4C53A47F6}" uniqueName="22" queryTableFieldId="22"/>
    <tableColumn id="23" name="Created" xr3:uid="{4B2B919E-6CCB-4E91-8B06-3428AE2BD167}" uniqueName="23" queryTableFieldId="23"/>
    <tableColumn id="24" name="Updated" xr3:uid="{1D2B4CBE-CCA5-4D91-AAE1-8F38A0A1F04B}" uniqueName="24" queryTableFieldId="24"/>
    <tableColumn id="25" name="Odoo ID" xr3:uid="{49056BCD-740D-413B-A250-7B3EE5001AC3}" uniqueName="2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Y2"/>
  <sheetViews>
    <sheetView tabSelected="1" workbookViewId="0">
      <selection activeCell="S14" sqref="A1:Y2"/>
    </sheetView>
  </sheetViews>
  <sheetFormatPr defaultRowHeight="14" x14ac:dyDescent="0.3"/>
  <cols>
    <col min="1" max="1" width="9.6640625" bestFit="1" customWidth="1"/>
  </cols>
  <sheetData>
    <row r="1" spans="1:25" x14ac:dyDescent="0.3">
      <c r="A1" t="str">
        <v>Invoice</v>
      </c>
      <c r="B1" t="str">
        <v>Type</v>
      </c>
      <c r="C1" t="str">
        <v>Journal</v>
      </c>
      <c r="D1" t="str">
        <v>Status</v>
      </c>
      <c r="E1" t="str">
        <v>Invoice date</v>
      </c>
      <c r="F1" t="str">
        <v>Due date</v>
      </c>
      <c r="G1" t="str">
        <v>Customer</v>
      </c>
      <c r="H1" t="str">
        <v>Reference</v>
      </c>
      <c r="I1" t="str">
        <v>Untaxed</v>
      </c>
      <c r="J1" t="str">
        <v>VAT</v>
      </c>
      <c r="K1" t="str">
        <v>Total</v>
      </c>
      <c r="L1" t="str">
        <v>Amount due</v>
      </c>
      <c r="M1" t="str">
        <v>Payment status</v>
      </c>
      <c r="N1" t="str">
        <v>Payment method</v>
      </c>
      <c r="O1" t="str">
        <v>Paid via</v>
      </c>
      <c r="P1" t="str">
        <v>Paid on</v>
      </c>
      <c r="Q1" t="str">
        <v>Valet</v>
      </c>
      <c r="R1" t="str">
        <v>Ticket</v>
      </c>
      <c r="S1" t="str">
        <v>Point</v>
      </c>
      <c r="T1" t="str">
        <v>Area</v>
      </c>
      <c r="U1" t="str">
        <v>Client</v>
      </c>
      <c r="V1" t="str">
        <v>Currency</v>
      </c>
      <c r="W1" t="str">
        <v>Created</v>
      </c>
      <c r="X1" t="str">
        <v>Updated</v>
      </c>
      <c r="Y1" t="str">
        <v>Odoo ID</v>
      </c>
    </row>
    <row r="2" spans="1:25" x14ac:dyDescent="0.3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</sheetData>
  <pageMargins left="0.7" right="0.7" top="0.75" bottom="0.75" header="0.3" footer="0.3"/>
  <tableParts count="1">
    <tablePart r:id="rId1"/>
  </tableParts>
</worksheet>
</file>

<file path=xl/worksheets/sheet_x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8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20" customWidth="1"/>
    <col min="16" max="16" width="14" customWidth="1"/>
    <col min="17" max="17" width="14" customWidth="1"/>
    <col min="18" max="18" width="14" customWidth="1"/>
    <col min="19" max="19" width="28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</cols>
  <sheetData>
    <row r="1">
      <c r="A1" cm="1" s="1">
        <f t="array" ref="A1">_xlfn._xlws.FILTER(Invoices[#Headers],TRUE)</f>
      </c>
    </row>
    <row r="2">
      <c r="A2" cm="1">
        <f t="array" ref="A2">_xlfn._xlws.FILTER(Invoices,Invoices[Payment method]="Cash","No cash invoices yet")</f>
      </c>
    </row>
  </sheetData>
</worksheet>
</file>

<file path=xl/worksheets/sheet_x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8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20" customWidth="1"/>
    <col min="16" max="16" width="14" customWidth="1"/>
    <col min="17" max="17" width="14" customWidth="1"/>
    <col min="18" max="18" width="14" customWidth="1"/>
    <col min="19" max="19" width="28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</cols>
  <sheetData>
    <row r="1">
      <c r="A1" cm="1" s="1">
        <f t="array" ref="A1">_xlfn._xlws.FILTER(Invoices[#Headers],TRUE)</f>
      </c>
    </row>
    <row r="2">
      <c r="A2" cm="1">
        <f t="array" ref="A2">_xlfn._xlws.FILTER(Invoices,Invoices[Payment method]="Card","No card invoices yet")</f>
      </c>
    </row>
  </sheetData>
</worksheet>
</file>

<file path=xl/worksheets/sheet_x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8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20" customWidth="1"/>
    <col min="16" max="16" width="14" customWidth="1"/>
    <col min="17" max="17" width="14" customWidth="1"/>
    <col min="18" max="18" width="14" customWidth="1"/>
    <col min="19" max="19" width="28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</cols>
  <sheetData>
    <row r="1">
      <c r="A1" cm="1" s="1">
        <f t="array" ref="A1">_xlfn._xlws.FILTER(Invoices[#Headers],TRUE)</f>
      </c>
    </row>
    <row r="2">
      <c r="A2" cm="1">
        <f t="array" ref="A2">_xlfn._xlws.FILTER(Invoices,Invoices[Payment method]="Free","No free invoices yet")</f>
      </c>
    </row>
  </sheetData>
</worksheet>
</file>

<file path=xl/worksheets/sheet_x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8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20" customWidth="1"/>
    <col min="16" max="16" width="14" customWidth="1"/>
    <col min="17" max="17" width="14" customWidth="1"/>
    <col min="18" max="18" width="14" customWidth="1"/>
    <col min="19" max="19" width="28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</cols>
  <sheetData>
    <row r="1">
      <c r="A1" cm="1" s="1">
        <f t="array" ref="A1">_xlfn._xlws.FILTER(Invoices[#Headers],TRUE)</f>
      </c>
    </row>
    <row r="2">
      <c r="A2" cm="1">
        <f t="array" ref="A2">_xlfn._xlws.FILTER(Invoices,(Invoices[Payment method]="Unpaid")+(Invoices[Payment method]="Draft"),"No unpaid invoices yet")</f>
      </c>
    </row>
  </sheetData>
</worksheet>
</file>

<file path=xl/worksheets/sheet_x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8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20" customWidth="1"/>
    <col min="16" max="16" width="14" customWidth="1"/>
    <col min="17" max="17" width="14" customWidth="1"/>
    <col min="18" max="18" width="14" customWidth="1"/>
    <col min="19" max="19" width="28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</cols>
  <sheetData>
    <row r="1">
      <c r="A1" cm="1" s="1">
        <f t="array" ref="A1">_xlfn._xlws.FILTER(Invoices[#Headers],TRUE)</f>
      </c>
    </row>
    <row r="2">
      <c r="A2" cm="1">
        <f t="array" ref="A2">_xlfn._xlws.FILTER(Invoices,Invoices[Type]="Credit note","No credit note invoices yet")</f>
      </c>
    </row>
  </sheetData>
</worksheet>
</file>

<file path=xl/worksheets/sheet_x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8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20" customWidth="1"/>
    <col min="16" max="16" width="14" customWidth="1"/>
    <col min="17" max="17" width="14" customWidth="1"/>
    <col min="18" max="18" width="14" customWidth="1"/>
    <col min="19" max="19" width="28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</cols>
  <sheetData>
    <row r="1">
      <c r="A1" cm="1" s="1">
        <f t="array" ref="A1">_xlfn._xlws.FILTER(Invoices[#Headers],TRUE)</f>
      </c>
    </row>
    <row r="2">
      <c r="A2" cm="1">
        <f t="array" ref="A2">_xlfn._xlws.FILTER(Invoices,Invoices[Valet]="No","No non-valet invoices yet")</f>
      </c>
    </row>
  </sheetData>
</worksheet>
</file>

<file path=xl/worksheets/sheet_x7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6" customWidth="1"/>
    <col min="9" max="9" width="10" customWidth="1"/>
  </cols>
  <sheetData>
    <row r="1">
      <c r="A1" t="inlineStr" s="4">
        <is>
          <t xml:space="preserve">Odoo invoices – summary (posted invoices, AED, credit notes are negative)</t>
        </is>
      </c>
    </row>
    <row r="2">
      <c r="A2" t="inlineStr">
        <is>
          <t xml:space="preserve">Last refresh of this file:</t>
        </is>
      </c>
      <c r="B2" s="3">
        <f>NOW()</f>
      </c>
    </row>
    <row r="4">
      <c r="A4" t="inlineStr" s="1">
        <is>
          <t xml:space="preserve">Month</t>
        </is>
      </c>
      <c r="B4" t="inlineStr" s="1">
        <is>
          <t xml:space="preserve">Cash</t>
        </is>
      </c>
      <c r="C4" t="inlineStr" s="1">
        <is>
          <t xml:space="preserve">Card</t>
        </is>
      </c>
      <c r="D4" t="inlineStr" s="1">
        <is>
          <t xml:space="preserve">Free</t>
        </is>
      </c>
      <c r="E4" t="inlineStr" s="1">
        <is>
          <t xml:space="preserve">Split</t>
        </is>
      </c>
      <c r="F4" t="inlineStr" s="1">
        <is>
          <t xml:space="preserve">Bank / other</t>
        </is>
      </c>
      <c r="G4" t="inlineStr" s="1">
        <is>
          <t xml:space="preserve">Unpaid</t>
        </is>
      </c>
      <c r="H4" t="inlineStr" s="1">
        <is>
          <t xml:space="preserve">Total</t>
        </is>
      </c>
      <c r="I4" t="inlineStr" s="1">
        <is>
          <t xml:space="preserve">Invoices</t>
        </is>
      </c>
    </row>
    <row r="5">
      <c r="A5" s="3">
        <f>DATE(YEAR(TODAY()),MONTH(TODAY())-0,1)</f>
      </c>
      <c r="B5" s="2">
        <f>SUMIFS(Invoices[Total],Invoices[Status],"Posted",Invoices[Payment method],"Cash",Invoices[Invoice date],"&gt;="&amp;A5,Invoices[Invoice date],"&lt;"&amp;EDATE(A5,1))</f>
      </c>
      <c r="C5" s="2">
        <f>SUMIFS(Invoices[Total],Invoices[Status],"Posted",Invoices[Payment method],"Card",Invoices[Invoice date],"&gt;="&amp;A5,Invoices[Invoice date],"&lt;"&amp;EDATE(A5,1))</f>
      </c>
      <c r="D5" s="2">
        <f>SUMIFS(Invoices[Total],Invoices[Status],"Posted",Invoices[Payment method],"Free",Invoices[Invoice date],"&gt;="&amp;A5,Invoices[Invoice date],"&lt;"&amp;EDATE(A5,1))</f>
      </c>
      <c r="E5" s="2">
        <f>SUMIFS(Invoices[Total],Invoices[Status],"Posted",Invoices[Payment method],"Split",Invoices[Invoice date],"&gt;="&amp;A5,Invoices[Invoice date],"&lt;"&amp;EDATE(A5,1))</f>
      </c>
      <c r="F5" s="2">
        <f>SUMIFS(Invoices[Total],Invoices[Status],"Posted",Invoices[Payment method],"Bank / other",Invoices[Invoice date],"&gt;="&amp;A5,Invoices[Invoice date],"&lt;"&amp;EDATE(A5,1))</f>
      </c>
      <c r="G5" s="2">
        <f>SUMIFS(Invoices[Total],Invoices[Status],"Posted",Invoices[Payment method],"Unpaid",Invoices[Invoice date],"&gt;="&amp;A5,Invoices[Invoice date],"&lt;"&amp;EDATE(A5,1))</f>
      </c>
      <c r="H5" s="2">
        <f>SUMIFS(Invoices[Total],Invoices[Status],"Posted",Invoices[Invoice date],"&gt;="&amp;A5,Invoices[Invoice date],"&lt;"&amp;EDATE(A5,1))</f>
      </c>
      <c r="I5">
        <f>COUNTIFS(Invoices[Status],"Posted",Invoices[Invoice date],"&gt;="&amp;A5,Invoices[Invoice date],"&lt;"&amp;EDATE(A5,1))</f>
      </c>
    </row>
    <row r="6">
      <c r="A6" s="3">
        <f>DATE(YEAR(TODAY()),MONTH(TODAY())-1,1)</f>
      </c>
      <c r="B6" s="2">
        <f>SUMIFS(Invoices[Total],Invoices[Status],"Posted",Invoices[Payment method],"Cash",Invoices[Invoice date],"&gt;="&amp;A6,Invoices[Invoice date],"&lt;"&amp;EDATE(A6,1))</f>
      </c>
      <c r="C6" s="2">
        <f>SUMIFS(Invoices[Total],Invoices[Status],"Posted",Invoices[Payment method],"Card",Invoices[Invoice date],"&gt;="&amp;A6,Invoices[Invoice date],"&lt;"&amp;EDATE(A6,1))</f>
      </c>
      <c r="D6" s="2">
        <f>SUMIFS(Invoices[Total],Invoices[Status],"Posted",Invoices[Payment method],"Free",Invoices[Invoice date],"&gt;="&amp;A6,Invoices[Invoice date],"&lt;"&amp;EDATE(A6,1))</f>
      </c>
      <c r="E6" s="2">
        <f>SUMIFS(Invoices[Total],Invoices[Status],"Posted",Invoices[Payment method],"Split",Invoices[Invoice date],"&gt;="&amp;A6,Invoices[Invoice date],"&lt;"&amp;EDATE(A6,1))</f>
      </c>
      <c r="F6" s="2">
        <f>SUMIFS(Invoices[Total],Invoices[Status],"Posted",Invoices[Payment method],"Bank / other",Invoices[Invoice date],"&gt;="&amp;A6,Invoices[Invoice date],"&lt;"&amp;EDATE(A6,1))</f>
      </c>
      <c r="G6" s="2">
        <f>SUMIFS(Invoices[Total],Invoices[Status],"Posted",Invoices[Payment method],"Unpaid",Invoices[Invoice date],"&gt;="&amp;A6,Invoices[Invoice date],"&lt;"&amp;EDATE(A6,1))</f>
      </c>
      <c r="H6" s="2">
        <f>SUMIFS(Invoices[Total],Invoices[Status],"Posted",Invoices[Invoice date],"&gt;="&amp;A6,Invoices[Invoice date],"&lt;"&amp;EDATE(A6,1))</f>
      </c>
      <c r="I6">
        <f>COUNTIFS(Invoices[Status],"Posted",Invoices[Invoice date],"&gt;="&amp;A6,Invoices[Invoice date],"&lt;"&amp;EDATE(A6,1))</f>
      </c>
    </row>
    <row r="7">
      <c r="A7" s="3">
        <f>DATE(YEAR(TODAY()),MONTH(TODAY())-2,1)</f>
      </c>
      <c r="B7" s="2">
        <f>SUMIFS(Invoices[Total],Invoices[Status],"Posted",Invoices[Payment method],"Cash",Invoices[Invoice date],"&gt;="&amp;A7,Invoices[Invoice date],"&lt;"&amp;EDATE(A7,1))</f>
      </c>
      <c r="C7" s="2">
        <f>SUMIFS(Invoices[Total],Invoices[Status],"Posted",Invoices[Payment method],"Card",Invoices[Invoice date],"&gt;="&amp;A7,Invoices[Invoice date],"&lt;"&amp;EDATE(A7,1))</f>
      </c>
      <c r="D7" s="2">
        <f>SUMIFS(Invoices[Total],Invoices[Status],"Posted",Invoices[Payment method],"Free",Invoices[Invoice date],"&gt;="&amp;A7,Invoices[Invoice date],"&lt;"&amp;EDATE(A7,1))</f>
      </c>
      <c r="E7" s="2">
        <f>SUMIFS(Invoices[Total],Invoices[Status],"Posted",Invoices[Payment method],"Split",Invoices[Invoice date],"&gt;="&amp;A7,Invoices[Invoice date],"&lt;"&amp;EDATE(A7,1))</f>
      </c>
      <c r="F7" s="2">
        <f>SUMIFS(Invoices[Total],Invoices[Status],"Posted",Invoices[Payment method],"Bank / other",Invoices[Invoice date],"&gt;="&amp;A7,Invoices[Invoice date],"&lt;"&amp;EDATE(A7,1))</f>
      </c>
      <c r="G7" s="2">
        <f>SUMIFS(Invoices[Total],Invoices[Status],"Posted",Invoices[Payment method],"Unpaid",Invoices[Invoice date],"&gt;="&amp;A7,Invoices[Invoice date],"&lt;"&amp;EDATE(A7,1))</f>
      </c>
      <c r="H7" s="2">
        <f>SUMIFS(Invoices[Total],Invoices[Status],"Posted",Invoices[Invoice date],"&gt;="&amp;A7,Invoices[Invoice date],"&lt;"&amp;EDATE(A7,1))</f>
      </c>
      <c r="I7">
        <f>COUNTIFS(Invoices[Status],"Posted",Invoices[Invoice date],"&gt;="&amp;A7,Invoices[Invoice date],"&lt;"&amp;EDATE(A7,1))</f>
      </c>
    </row>
    <row r="8">
      <c r="A8" s="3">
        <f>DATE(YEAR(TODAY()),MONTH(TODAY())-3,1)</f>
      </c>
      <c r="B8" s="2">
        <f>SUMIFS(Invoices[Total],Invoices[Status],"Posted",Invoices[Payment method],"Cash",Invoices[Invoice date],"&gt;="&amp;A8,Invoices[Invoice date],"&lt;"&amp;EDATE(A8,1))</f>
      </c>
      <c r="C8" s="2">
        <f>SUMIFS(Invoices[Total],Invoices[Status],"Posted",Invoices[Payment method],"Card",Invoices[Invoice date],"&gt;="&amp;A8,Invoices[Invoice date],"&lt;"&amp;EDATE(A8,1))</f>
      </c>
      <c r="D8" s="2">
        <f>SUMIFS(Invoices[Total],Invoices[Status],"Posted",Invoices[Payment method],"Free",Invoices[Invoice date],"&gt;="&amp;A8,Invoices[Invoice date],"&lt;"&amp;EDATE(A8,1))</f>
      </c>
      <c r="E8" s="2">
        <f>SUMIFS(Invoices[Total],Invoices[Status],"Posted",Invoices[Payment method],"Split",Invoices[Invoice date],"&gt;="&amp;A8,Invoices[Invoice date],"&lt;"&amp;EDATE(A8,1))</f>
      </c>
      <c r="F8" s="2">
        <f>SUMIFS(Invoices[Total],Invoices[Status],"Posted",Invoices[Payment method],"Bank / other",Invoices[Invoice date],"&gt;="&amp;A8,Invoices[Invoice date],"&lt;"&amp;EDATE(A8,1))</f>
      </c>
      <c r="G8" s="2">
        <f>SUMIFS(Invoices[Total],Invoices[Status],"Posted",Invoices[Payment method],"Unpaid",Invoices[Invoice date],"&gt;="&amp;A8,Invoices[Invoice date],"&lt;"&amp;EDATE(A8,1))</f>
      </c>
      <c r="H8" s="2">
        <f>SUMIFS(Invoices[Total],Invoices[Status],"Posted",Invoices[Invoice date],"&gt;="&amp;A8,Invoices[Invoice date],"&lt;"&amp;EDATE(A8,1))</f>
      </c>
      <c r="I8">
        <f>COUNTIFS(Invoices[Status],"Posted",Invoices[Invoice date],"&gt;="&amp;A8,Invoices[Invoice date],"&lt;"&amp;EDATE(A8,1))</f>
      </c>
    </row>
    <row r="9">
      <c r="A9" s="3">
        <f>DATE(YEAR(TODAY()),MONTH(TODAY())-4,1)</f>
      </c>
      <c r="B9" s="2">
        <f>SUMIFS(Invoices[Total],Invoices[Status],"Posted",Invoices[Payment method],"Cash",Invoices[Invoice date],"&gt;="&amp;A9,Invoices[Invoice date],"&lt;"&amp;EDATE(A9,1))</f>
      </c>
      <c r="C9" s="2">
        <f>SUMIFS(Invoices[Total],Invoices[Status],"Posted",Invoices[Payment method],"Card",Invoices[Invoice date],"&gt;="&amp;A9,Invoices[Invoice date],"&lt;"&amp;EDATE(A9,1))</f>
      </c>
      <c r="D9" s="2">
        <f>SUMIFS(Invoices[Total],Invoices[Status],"Posted",Invoices[Payment method],"Free",Invoices[Invoice date],"&gt;="&amp;A9,Invoices[Invoice date],"&lt;"&amp;EDATE(A9,1))</f>
      </c>
      <c r="E9" s="2">
        <f>SUMIFS(Invoices[Total],Invoices[Status],"Posted",Invoices[Payment method],"Split",Invoices[Invoice date],"&gt;="&amp;A9,Invoices[Invoice date],"&lt;"&amp;EDATE(A9,1))</f>
      </c>
      <c r="F9" s="2">
        <f>SUMIFS(Invoices[Total],Invoices[Status],"Posted",Invoices[Payment method],"Bank / other",Invoices[Invoice date],"&gt;="&amp;A9,Invoices[Invoice date],"&lt;"&amp;EDATE(A9,1))</f>
      </c>
      <c r="G9" s="2">
        <f>SUMIFS(Invoices[Total],Invoices[Status],"Posted",Invoices[Payment method],"Unpaid",Invoices[Invoice date],"&gt;="&amp;A9,Invoices[Invoice date],"&lt;"&amp;EDATE(A9,1))</f>
      </c>
      <c r="H9" s="2">
        <f>SUMIFS(Invoices[Total],Invoices[Status],"Posted",Invoices[Invoice date],"&gt;="&amp;A9,Invoices[Invoice date],"&lt;"&amp;EDATE(A9,1))</f>
      </c>
      <c r="I9">
        <f>COUNTIFS(Invoices[Status],"Posted",Invoices[Invoice date],"&gt;="&amp;A9,Invoices[Invoice date],"&lt;"&amp;EDATE(A9,1))</f>
      </c>
    </row>
    <row r="10">
      <c r="A10" s="3">
        <f>DATE(YEAR(TODAY()),MONTH(TODAY())-5,1)</f>
      </c>
      <c r="B10" s="2">
        <f>SUMIFS(Invoices[Total],Invoices[Status],"Posted",Invoices[Payment method],"Cash",Invoices[Invoice date],"&gt;="&amp;A10,Invoices[Invoice date],"&lt;"&amp;EDATE(A10,1))</f>
      </c>
      <c r="C10" s="2">
        <f>SUMIFS(Invoices[Total],Invoices[Status],"Posted",Invoices[Payment method],"Card",Invoices[Invoice date],"&gt;="&amp;A10,Invoices[Invoice date],"&lt;"&amp;EDATE(A10,1))</f>
      </c>
      <c r="D10" s="2">
        <f>SUMIFS(Invoices[Total],Invoices[Status],"Posted",Invoices[Payment method],"Free",Invoices[Invoice date],"&gt;="&amp;A10,Invoices[Invoice date],"&lt;"&amp;EDATE(A10,1))</f>
      </c>
      <c r="E10" s="2">
        <f>SUMIFS(Invoices[Total],Invoices[Status],"Posted",Invoices[Payment method],"Split",Invoices[Invoice date],"&gt;="&amp;A10,Invoices[Invoice date],"&lt;"&amp;EDATE(A10,1))</f>
      </c>
      <c r="F10" s="2">
        <f>SUMIFS(Invoices[Total],Invoices[Status],"Posted",Invoices[Payment method],"Bank / other",Invoices[Invoice date],"&gt;="&amp;A10,Invoices[Invoice date],"&lt;"&amp;EDATE(A10,1))</f>
      </c>
      <c r="G10" s="2">
        <f>SUMIFS(Invoices[Total],Invoices[Status],"Posted",Invoices[Payment method],"Unpaid",Invoices[Invoice date],"&gt;="&amp;A10,Invoices[Invoice date],"&lt;"&amp;EDATE(A10,1))</f>
      </c>
      <c r="H10" s="2">
        <f>SUMIFS(Invoices[Total],Invoices[Status],"Posted",Invoices[Invoice date],"&gt;="&amp;A10,Invoices[Invoice date],"&lt;"&amp;EDATE(A10,1))</f>
      </c>
      <c r="I10">
        <f>COUNTIFS(Invoices[Status],"Posted",Invoices[Invoice date],"&gt;="&amp;A10,Invoices[Invoice date],"&lt;"&amp;EDATE(A10,1))</f>
      </c>
    </row>
    <row r="11">
      <c r="A11" s="3">
        <f>DATE(YEAR(TODAY()),MONTH(TODAY())-6,1)</f>
      </c>
      <c r="B11" s="2">
        <f>SUMIFS(Invoices[Total],Invoices[Status],"Posted",Invoices[Payment method],"Cash",Invoices[Invoice date],"&gt;="&amp;A11,Invoices[Invoice date],"&lt;"&amp;EDATE(A11,1))</f>
      </c>
      <c r="C11" s="2">
        <f>SUMIFS(Invoices[Total],Invoices[Status],"Posted",Invoices[Payment method],"Card",Invoices[Invoice date],"&gt;="&amp;A11,Invoices[Invoice date],"&lt;"&amp;EDATE(A11,1))</f>
      </c>
      <c r="D11" s="2">
        <f>SUMIFS(Invoices[Total],Invoices[Status],"Posted",Invoices[Payment method],"Free",Invoices[Invoice date],"&gt;="&amp;A11,Invoices[Invoice date],"&lt;"&amp;EDATE(A11,1))</f>
      </c>
      <c r="E11" s="2">
        <f>SUMIFS(Invoices[Total],Invoices[Status],"Posted",Invoices[Payment method],"Split",Invoices[Invoice date],"&gt;="&amp;A11,Invoices[Invoice date],"&lt;"&amp;EDATE(A11,1))</f>
      </c>
      <c r="F11" s="2">
        <f>SUMIFS(Invoices[Total],Invoices[Status],"Posted",Invoices[Payment method],"Bank / other",Invoices[Invoice date],"&gt;="&amp;A11,Invoices[Invoice date],"&lt;"&amp;EDATE(A11,1))</f>
      </c>
      <c r="G11" s="2">
        <f>SUMIFS(Invoices[Total],Invoices[Status],"Posted",Invoices[Payment method],"Unpaid",Invoices[Invoice date],"&gt;="&amp;A11,Invoices[Invoice date],"&lt;"&amp;EDATE(A11,1))</f>
      </c>
      <c r="H11" s="2">
        <f>SUMIFS(Invoices[Total],Invoices[Status],"Posted",Invoices[Invoice date],"&gt;="&amp;A11,Invoices[Invoice date],"&lt;"&amp;EDATE(A11,1))</f>
      </c>
      <c r="I11">
        <f>COUNTIFS(Invoices[Status],"Posted",Invoices[Invoice date],"&gt;="&amp;A11,Invoices[Invoice date],"&lt;"&amp;EDATE(A11,1))</f>
      </c>
    </row>
    <row r="12">
      <c r="A12" s="3">
        <f>DATE(YEAR(TODAY()),MONTH(TODAY())-7,1)</f>
      </c>
      <c r="B12" s="2">
        <f>SUMIFS(Invoices[Total],Invoices[Status],"Posted",Invoices[Payment method],"Cash",Invoices[Invoice date],"&gt;="&amp;A12,Invoices[Invoice date],"&lt;"&amp;EDATE(A12,1))</f>
      </c>
      <c r="C12" s="2">
        <f>SUMIFS(Invoices[Total],Invoices[Status],"Posted",Invoices[Payment method],"Card",Invoices[Invoice date],"&gt;="&amp;A12,Invoices[Invoice date],"&lt;"&amp;EDATE(A12,1))</f>
      </c>
      <c r="D12" s="2">
        <f>SUMIFS(Invoices[Total],Invoices[Status],"Posted",Invoices[Payment method],"Free",Invoices[Invoice date],"&gt;="&amp;A12,Invoices[Invoice date],"&lt;"&amp;EDATE(A12,1))</f>
      </c>
      <c r="E12" s="2">
        <f>SUMIFS(Invoices[Total],Invoices[Status],"Posted",Invoices[Payment method],"Split",Invoices[Invoice date],"&gt;="&amp;A12,Invoices[Invoice date],"&lt;"&amp;EDATE(A12,1))</f>
      </c>
      <c r="F12" s="2">
        <f>SUMIFS(Invoices[Total],Invoices[Status],"Posted",Invoices[Payment method],"Bank / other",Invoices[Invoice date],"&gt;="&amp;A12,Invoices[Invoice date],"&lt;"&amp;EDATE(A12,1))</f>
      </c>
      <c r="G12" s="2">
        <f>SUMIFS(Invoices[Total],Invoices[Status],"Posted",Invoices[Payment method],"Unpaid",Invoices[Invoice date],"&gt;="&amp;A12,Invoices[Invoice date],"&lt;"&amp;EDATE(A12,1))</f>
      </c>
      <c r="H12" s="2">
        <f>SUMIFS(Invoices[Total],Invoices[Status],"Posted",Invoices[Invoice date],"&gt;="&amp;A12,Invoices[Invoice date],"&lt;"&amp;EDATE(A12,1))</f>
      </c>
      <c r="I12">
        <f>COUNTIFS(Invoices[Status],"Posted",Invoices[Invoice date],"&gt;="&amp;A12,Invoices[Invoice date],"&lt;"&amp;EDATE(A12,1))</f>
      </c>
    </row>
    <row r="13">
      <c r="A13" s="3">
        <f>DATE(YEAR(TODAY()),MONTH(TODAY())-8,1)</f>
      </c>
      <c r="B13" s="2">
        <f>SUMIFS(Invoices[Total],Invoices[Status],"Posted",Invoices[Payment method],"Cash",Invoices[Invoice date],"&gt;="&amp;A13,Invoices[Invoice date],"&lt;"&amp;EDATE(A13,1))</f>
      </c>
      <c r="C13" s="2">
        <f>SUMIFS(Invoices[Total],Invoices[Status],"Posted",Invoices[Payment method],"Card",Invoices[Invoice date],"&gt;="&amp;A13,Invoices[Invoice date],"&lt;"&amp;EDATE(A13,1))</f>
      </c>
      <c r="D13" s="2">
        <f>SUMIFS(Invoices[Total],Invoices[Status],"Posted",Invoices[Payment method],"Free",Invoices[Invoice date],"&gt;="&amp;A13,Invoices[Invoice date],"&lt;"&amp;EDATE(A13,1))</f>
      </c>
      <c r="E13" s="2">
        <f>SUMIFS(Invoices[Total],Invoices[Status],"Posted",Invoices[Payment method],"Split",Invoices[Invoice date],"&gt;="&amp;A13,Invoices[Invoice date],"&lt;"&amp;EDATE(A13,1))</f>
      </c>
      <c r="F13" s="2">
        <f>SUMIFS(Invoices[Total],Invoices[Status],"Posted",Invoices[Payment method],"Bank / other",Invoices[Invoice date],"&gt;="&amp;A13,Invoices[Invoice date],"&lt;"&amp;EDATE(A13,1))</f>
      </c>
      <c r="G13" s="2">
        <f>SUMIFS(Invoices[Total],Invoices[Status],"Posted",Invoices[Payment method],"Unpaid",Invoices[Invoice date],"&gt;="&amp;A13,Invoices[Invoice date],"&lt;"&amp;EDATE(A13,1))</f>
      </c>
      <c r="H13" s="2">
        <f>SUMIFS(Invoices[Total],Invoices[Status],"Posted",Invoices[Invoice date],"&gt;="&amp;A13,Invoices[Invoice date],"&lt;"&amp;EDATE(A13,1))</f>
      </c>
      <c r="I13">
        <f>COUNTIFS(Invoices[Status],"Posted",Invoices[Invoice date],"&gt;="&amp;A13,Invoices[Invoice date],"&lt;"&amp;EDATE(A13,1))</f>
      </c>
    </row>
    <row r="14">
      <c r="A14" s="3">
        <f>DATE(YEAR(TODAY()),MONTH(TODAY())-9,1)</f>
      </c>
      <c r="B14" s="2">
        <f>SUMIFS(Invoices[Total],Invoices[Status],"Posted",Invoices[Payment method],"Cash",Invoices[Invoice date],"&gt;="&amp;A14,Invoices[Invoice date],"&lt;"&amp;EDATE(A14,1))</f>
      </c>
      <c r="C14" s="2">
        <f>SUMIFS(Invoices[Total],Invoices[Status],"Posted",Invoices[Payment method],"Card",Invoices[Invoice date],"&gt;="&amp;A14,Invoices[Invoice date],"&lt;"&amp;EDATE(A14,1))</f>
      </c>
      <c r="D14" s="2">
        <f>SUMIFS(Invoices[Total],Invoices[Status],"Posted",Invoices[Payment method],"Free",Invoices[Invoice date],"&gt;="&amp;A14,Invoices[Invoice date],"&lt;"&amp;EDATE(A14,1))</f>
      </c>
      <c r="E14" s="2">
        <f>SUMIFS(Invoices[Total],Invoices[Status],"Posted",Invoices[Payment method],"Split",Invoices[Invoice date],"&gt;="&amp;A14,Invoices[Invoice date],"&lt;"&amp;EDATE(A14,1))</f>
      </c>
      <c r="F14" s="2">
        <f>SUMIFS(Invoices[Total],Invoices[Status],"Posted",Invoices[Payment method],"Bank / other",Invoices[Invoice date],"&gt;="&amp;A14,Invoices[Invoice date],"&lt;"&amp;EDATE(A14,1))</f>
      </c>
      <c r="G14" s="2">
        <f>SUMIFS(Invoices[Total],Invoices[Status],"Posted",Invoices[Payment method],"Unpaid",Invoices[Invoice date],"&gt;="&amp;A14,Invoices[Invoice date],"&lt;"&amp;EDATE(A14,1))</f>
      </c>
      <c r="H14" s="2">
        <f>SUMIFS(Invoices[Total],Invoices[Status],"Posted",Invoices[Invoice date],"&gt;="&amp;A14,Invoices[Invoice date],"&lt;"&amp;EDATE(A14,1))</f>
      </c>
      <c r="I14">
        <f>COUNTIFS(Invoices[Status],"Posted",Invoices[Invoice date],"&gt;="&amp;A14,Invoices[Invoice date],"&lt;"&amp;EDATE(A14,1))</f>
      </c>
    </row>
    <row r="15">
      <c r="A15" s="3">
        <f>DATE(YEAR(TODAY()),MONTH(TODAY())-10,1)</f>
      </c>
      <c r="B15" s="2">
        <f>SUMIFS(Invoices[Total],Invoices[Status],"Posted",Invoices[Payment method],"Cash",Invoices[Invoice date],"&gt;="&amp;A15,Invoices[Invoice date],"&lt;"&amp;EDATE(A15,1))</f>
      </c>
      <c r="C15" s="2">
        <f>SUMIFS(Invoices[Total],Invoices[Status],"Posted",Invoices[Payment method],"Card",Invoices[Invoice date],"&gt;="&amp;A15,Invoices[Invoice date],"&lt;"&amp;EDATE(A15,1))</f>
      </c>
      <c r="D15" s="2">
        <f>SUMIFS(Invoices[Total],Invoices[Status],"Posted",Invoices[Payment method],"Free",Invoices[Invoice date],"&gt;="&amp;A15,Invoices[Invoice date],"&lt;"&amp;EDATE(A15,1))</f>
      </c>
      <c r="E15" s="2">
        <f>SUMIFS(Invoices[Total],Invoices[Status],"Posted",Invoices[Payment method],"Split",Invoices[Invoice date],"&gt;="&amp;A15,Invoices[Invoice date],"&lt;"&amp;EDATE(A15,1))</f>
      </c>
      <c r="F15" s="2">
        <f>SUMIFS(Invoices[Total],Invoices[Status],"Posted",Invoices[Payment method],"Bank / other",Invoices[Invoice date],"&gt;="&amp;A15,Invoices[Invoice date],"&lt;"&amp;EDATE(A15,1))</f>
      </c>
      <c r="G15" s="2">
        <f>SUMIFS(Invoices[Total],Invoices[Status],"Posted",Invoices[Payment method],"Unpaid",Invoices[Invoice date],"&gt;="&amp;A15,Invoices[Invoice date],"&lt;"&amp;EDATE(A15,1))</f>
      </c>
      <c r="H15" s="2">
        <f>SUMIFS(Invoices[Total],Invoices[Status],"Posted",Invoices[Invoice date],"&gt;="&amp;A15,Invoices[Invoice date],"&lt;"&amp;EDATE(A15,1))</f>
      </c>
      <c r="I15">
        <f>COUNTIFS(Invoices[Status],"Posted",Invoices[Invoice date],"&gt;="&amp;A15,Invoices[Invoice date],"&lt;"&amp;EDATE(A15,1))</f>
      </c>
    </row>
    <row r="16">
      <c r="A16" s="3">
        <f>DATE(YEAR(TODAY()),MONTH(TODAY())-11,1)</f>
      </c>
      <c r="B16" s="2">
        <f>SUMIFS(Invoices[Total],Invoices[Status],"Posted",Invoices[Payment method],"Cash",Invoices[Invoice date],"&gt;="&amp;A16,Invoices[Invoice date],"&lt;"&amp;EDATE(A16,1))</f>
      </c>
      <c r="C16" s="2">
        <f>SUMIFS(Invoices[Total],Invoices[Status],"Posted",Invoices[Payment method],"Card",Invoices[Invoice date],"&gt;="&amp;A16,Invoices[Invoice date],"&lt;"&amp;EDATE(A16,1))</f>
      </c>
      <c r="D16" s="2">
        <f>SUMIFS(Invoices[Total],Invoices[Status],"Posted",Invoices[Payment method],"Free",Invoices[Invoice date],"&gt;="&amp;A16,Invoices[Invoice date],"&lt;"&amp;EDATE(A16,1))</f>
      </c>
      <c r="E16" s="2">
        <f>SUMIFS(Invoices[Total],Invoices[Status],"Posted",Invoices[Payment method],"Split",Invoices[Invoice date],"&gt;="&amp;A16,Invoices[Invoice date],"&lt;"&amp;EDATE(A16,1))</f>
      </c>
      <c r="F16" s="2">
        <f>SUMIFS(Invoices[Total],Invoices[Status],"Posted",Invoices[Payment method],"Bank / other",Invoices[Invoice date],"&gt;="&amp;A16,Invoices[Invoice date],"&lt;"&amp;EDATE(A16,1))</f>
      </c>
      <c r="G16" s="2">
        <f>SUMIFS(Invoices[Total],Invoices[Status],"Posted",Invoices[Payment method],"Unpaid",Invoices[Invoice date],"&gt;="&amp;A16,Invoices[Invoice date],"&lt;"&amp;EDATE(A16,1))</f>
      </c>
      <c r="H16" s="2">
        <f>SUMIFS(Invoices[Total],Invoices[Status],"Posted",Invoices[Invoice date],"&gt;="&amp;A16,Invoices[Invoice date],"&lt;"&amp;EDATE(A16,1))</f>
      </c>
      <c r="I16">
        <f>COUNTIFS(Invoices[Status],"Posted",Invoices[Invoice date],"&gt;="&amp;A16,Invoices[Invoice date],"&lt;"&amp;EDATE(A16,1))</f>
      </c>
    </row>
    <row r="17">
      <c r="A17" s="3">
        <f>DATE(YEAR(TODAY()),MONTH(TODAY())-12,1)</f>
      </c>
      <c r="B17" s="2">
        <f>SUMIFS(Invoices[Total],Invoices[Status],"Posted",Invoices[Payment method],"Cash",Invoices[Invoice date],"&gt;="&amp;A17,Invoices[Invoice date],"&lt;"&amp;EDATE(A17,1))</f>
      </c>
      <c r="C17" s="2">
        <f>SUMIFS(Invoices[Total],Invoices[Status],"Posted",Invoices[Payment method],"Card",Invoices[Invoice date],"&gt;="&amp;A17,Invoices[Invoice date],"&lt;"&amp;EDATE(A17,1))</f>
      </c>
      <c r="D17" s="2">
        <f>SUMIFS(Invoices[Total],Invoices[Status],"Posted",Invoices[Payment method],"Free",Invoices[Invoice date],"&gt;="&amp;A17,Invoices[Invoice date],"&lt;"&amp;EDATE(A17,1))</f>
      </c>
      <c r="E17" s="2">
        <f>SUMIFS(Invoices[Total],Invoices[Status],"Posted",Invoices[Payment method],"Split",Invoices[Invoice date],"&gt;="&amp;A17,Invoices[Invoice date],"&lt;"&amp;EDATE(A17,1))</f>
      </c>
      <c r="F17" s="2">
        <f>SUMIFS(Invoices[Total],Invoices[Status],"Posted",Invoices[Payment method],"Bank / other",Invoices[Invoice date],"&gt;="&amp;A17,Invoices[Invoice date],"&lt;"&amp;EDATE(A17,1))</f>
      </c>
      <c r="G17" s="2">
        <f>SUMIFS(Invoices[Total],Invoices[Status],"Posted",Invoices[Payment method],"Unpaid",Invoices[Invoice date],"&gt;="&amp;A17,Invoices[Invoice date],"&lt;"&amp;EDATE(A17,1))</f>
      </c>
      <c r="H17" s="2">
        <f>SUMIFS(Invoices[Total],Invoices[Status],"Posted",Invoices[Invoice date],"&gt;="&amp;A17,Invoices[Invoice date],"&lt;"&amp;EDATE(A17,1))</f>
      </c>
      <c r="I17">
        <f>COUNTIFS(Invoices[Status],"Posted",Invoices[Invoice date],"&gt;="&amp;A17,Invoices[Invoice date],"&lt;"&amp;EDATE(A17,1))</f>
      </c>
    </row>
    <row r="18">
      <c r="A18" s="3">
        <f>DATE(YEAR(TODAY()),MONTH(TODAY())-13,1)</f>
      </c>
      <c r="B18" s="2">
        <f>SUMIFS(Invoices[Total],Invoices[Status],"Posted",Invoices[Payment method],"Cash",Invoices[Invoice date],"&gt;="&amp;A18,Invoices[Invoice date],"&lt;"&amp;EDATE(A18,1))</f>
      </c>
      <c r="C18" s="2">
        <f>SUMIFS(Invoices[Total],Invoices[Status],"Posted",Invoices[Payment method],"Card",Invoices[Invoice date],"&gt;="&amp;A18,Invoices[Invoice date],"&lt;"&amp;EDATE(A18,1))</f>
      </c>
      <c r="D18" s="2">
        <f>SUMIFS(Invoices[Total],Invoices[Status],"Posted",Invoices[Payment method],"Free",Invoices[Invoice date],"&gt;="&amp;A18,Invoices[Invoice date],"&lt;"&amp;EDATE(A18,1))</f>
      </c>
      <c r="E18" s="2">
        <f>SUMIFS(Invoices[Total],Invoices[Status],"Posted",Invoices[Payment method],"Split",Invoices[Invoice date],"&gt;="&amp;A18,Invoices[Invoice date],"&lt;"&amp;EDATE(A18,1))</f>
      </c>
      <c r="F18" s="2">
        <f>SUMIFS(Invoices[Total],Invoices[Status],"Posted",Invoices[Payment method],"Bank / other",Invoices[Invoice date],"&gt;="&amp;A18,Invoices[Invoice date],"&lt;"&amp;EDATE(A18,1))</f>
      </c>
      <c r="G18" s="2">
        <f>SUMIFS(Invoices[Total],Invoices[Status],"Posted",Invoices[Payment method],"Unpaid",Invoices[Invoice date],"&gt;="&amp;A18,Invoices[Invoice date],"&lt;"&amp;EDATE(A18,1))</f>
      </c>
      <c r="H18" s="2">
        <f>SUMIFS(Invoices[Total],Invoices[Status],"Posted",Invoices[Invoice date],"&gt;="&amp;A18,Invoices[Invoice date],"&lt;"&amp;EDATE(A18,1))</f>
      </c>
      <c r="I18">
        <f>COUNTIFS(Invoices[Status],"Posted",Invoices[Invoice date],"&gt;="&amp;A18,Invoices[Invoice date],"&lt;"&amp;EDATE(A18,1))</f>
      </c>
    </row>
    <row r="19">
      <c r="A19" s="3">
        <f>DATE(YEAR(TODAY()),MONTH(TODAY())-14,1)</f>
      </c>
      <c r="B19" s="2">
        <f>SUMIFS(Invoices[Total],Invoices[Status],"Posted",Invoices[Payment method],"Cash",Invoices[Invoice date],"&gt;="&amp;A19,Invoices[Invoice date],"&lt;"&amp;EDATE(A19,1))</f>
      </c>
      <c r="C19" s="2">
        <f>SUMIFS(Invoices[Total],Invoices[Status],"Posted",Invoices[Payment method],"Card",Invoices[Invoice date],"&gt;="&amp;A19,Invoices[Invoice date],"&lt;"&amp;EDATE(A19,1))</f>
      </c>
      <c r="D19" s="2">
        <f>SUMIFS(Invoices[Total],Invoices[Status],"Posted",Invoices[Payment method],"Free",Invoices[Invoice date],"&gt;="&amp;A19,Invoices[Invoice date],"&lt;"&amp;EDATE(A19,1))</f>
      </c>
      <c r="E19" s="2">
        <f>SUMIFS(Invoices[Total],Invoices[Status],"Posted",Invoices[Payment method],"Split",Invoices[Invoice date],"&gt;="&amp;A19,Invoices[Invoice date],"&lt;"&amp;EDATE(A19,1))</f>
      </c>
      <c r="F19" s="2">
        <f>SUMIFS(Invoices[Total],Invoices[Status],"Posted",Invoices[Payment method],"Bank / other",Invoices[Invoice date],"&gt;="&amp;A19,Invoices[Invoice date],"&lt;"&amp;EDATE(A19,1))</f>
      </c>
      <c r="G19" s="2">
        <f>SUMIFS(Invoices[Total],Invoices[Status],"Posted",Invoices[Payment method],"Unpaid",Invoices[Invoice date],"&gt;="&amp;A19,Invoices[Invoice date],"&lt;"&amp;EDATE(A19,1))</f>
      </c>
      <c r="H19" s="2">
        <f>SUMIFS(Invoices[Total],Invoices[Status],"Posted",Invoices[Invoice date],"&gt;="&amp;A19,Invoices[Invoice date],"&lt;"&amp;EDATE(A19,1))</f>
      </c>
      <c r="I19">
        <f>COUNTIFS(Invoices[Status],"Posted",Invoices[Invoice date],"&gt;="&amp;A19,Invoices[Invoice date],"&lt;"&amp;EDATE(A19,1))</f>
      </c>
    </row>
    <row r="20">
      <c r="A20" s="3">
        <f>DATE(YEAR(TODAY()),MONTH(TODAY())-15,1)</f>
      </c>
      <c r="B20" s="2">
        <f>SUMIFS(Invoices[Total],Invoices[Status],"Posted",Invoices[Payment method],"Cash",Invoices[Invoice date],"&gt;="&amp;A20,Invoices[Invoice date],"&lt;"&amp;EDATE(A20,1))</f>
      </c>
      <c r="C20" s="2">
        <f>SUMIFS(Invoices[Total],Invoices[Status],"Posted",Invoices[Payment method],"Card",Invoices[Invoice date],"&gt;="&amp;A20,Invoices[Invoice date],"&lt;"&amp;EDATE(A20,1))</f>
      </c>
      <c r="D20" s="2">
        <f>SUMIFS(Invoices[Total],Invoices[Status],"Posted",Invoices[Payment method],"Free",Invoices[Invoice date],"&gt;="&amp;A20,Invoices[Invoice date],"&lt;"&amp;EDATE(A20,1))</f>
      </c>
      <c r="E20" s="2">
        <f>SUMIFS(Invoices[Total],Invoices[Status],"Posted",Invoices[Payment method],"Split",Invoices[Invoice date],"&gt;="&amp;A20,Invoices[Invoice date],"&lt;"&amp;EDATE(A20,1))</f>
      </c>
      <c r="F20" s="2">
        <f>SUMIFS(Invoices[Total],Invoices[Status],"Posted",Invoices[Payment method],"Bank / other",Invoices[Invoice date],"&gt;="&amp;A20,Invoices[Invoice date],"&lt;"&amp;EDATE(A20,1))</f>
      </c>
      <c r="G20" s="2">
        <f>SUMIFS(Invoices[Total],Invoices[Status],"Posted",Invoices[Payment method],"Unpaid",Invoices[Invoice date],"&gt;="&amp;A20,Invoices[Invoice date],"&lt;"&amp;EDATE(A20,1))</f>
      </c>
      <c r="H20" s="2">
        <f>SUMIFS(Invoices[Total],Invoices[Status],"Posted",Invoices[Invoice date],"&gt;="&amp;A20,Invoices[Invoice date],"&lt;"&amp;EDATE(A20,1))</f>
      </c>
      <c r="I20">
        <f>COUNTIFS(Invoices[Status],"Posted",Invoices[Invoice date],"&gt;="&amp;A20,Invoices[Invoice date],"&lt;"&amp;EDATE(A20,1))</f>
      </c>
    </row>
    <row r="21">
      <c r="A21" s="3">
        <f>DATE(YEAR(TODAY()),MONTH(TODAY())-16,1)</f>
      </c>
      <c r="B21" s="2">
        <f>SUMIFS(Invoices[Total],Invoices[Status],"Posted",Invoices[Payment method],"Cash",Invoices[Invoice date],"&gt;="&amp;A21,Invoices[Invoice date],"&lt;"&amp;EDATE(A21,1))</f>
      </c>
      <c r="C21" s="2">
        <f>SUMIFS(Invoices[Total],Invoices[Status],"Posted",Invoices[Payment method],"Card",Invoices[Invoice date],"&gt;="&amp;A21,Invoices[Invoice date],"&lt;"&amp;EDATE(A21,1))</f>
      </c>
      <c r="D21" s="2">
        <f>SUMIFS(Invoices[Total],Invoices[Status],"Posted",Invoices[Payment method],"Free",Invoices[Invoice date],"&gt;="&amp;A21,Invoices[Invoice date],"&lt;"&amp;EDATE(A21,1))</f>
      </c>
      <c r="E21" s="2">
        <f>SUMIFS(Invoices[Total],Invoices[Status],"Posted",Invoices[Payment method],"Split",Invoices[Invoice date],"&gt;="&amp;A21,Invoices[Invoice date],"&lt;"&amp;EDATE(A21,1))</f>
      </c>
      <c r="F21" s="2">
        <f>SUMIFS(Invoices[Total],Invoices[Status],"Posted",Invoices[Payment method],"Bank / other",Invoices[Invoice date],"&gt;="&amp;A21,Invoices[Invoice date],"&lt;"&amp;EDATE(A21,1))</f>
      </c>
      <c r="G21" s="2">
        <f>SUMIFS(Invoices[Total],Invoices[Status],"Posted",Invoices[Payment method],"Unpaid",Invoices[Invoice date],"&gt;="&amp;A21,Invoices[Invoice date],"&lt;"&amp;EDATE(A21,1))</f>
      </c>
      <c r="H21" s="2">
        <f>SUMIFS(Invoices[Total],Invoices[Status],"Posted",Invoices[Invoice date],"&gt;="&amp;A21,Invoices[Invoice date],"&lt;"&amp;EDATE(A21,1))</f>
      </c>
      <c r="I21">
        <f>COUNTIFS(Invoices[Status],"Posted",Invoices[Invoice date],"&gt;="&amp;A21,Invoices[Invoice date],"&lt;"&amp;EDATE(A21,1))</f>
      </c>
    </row>
    <row r="22">
      <c r="A22" s="3">
        <f>DATE(YEAR(TODAY()),MONTH(TODAY())-17,1)</f>
      </c>
      <c r="B22" s="2">
        <f>SUMIFS(Invoices[Total],Invoices[Status],"Posted",Invoices[Payment method],"Cash",Invoices[Invoice date],"&gt;="&amp;A22,Invoices[Invoice date],"&lt;"&amp;EDATE(A22,1))</f>
      </c>
      <c r="C22" s="2">
        <f>SUMIFS(Invoices[Total],Invoices[Status],"Posted",Invoices[Payment method],"Card",Invoices[Invoice date],"&gt;="&amp;A22,Invoices[Invoice date],"&lt;"&amp;EDATE(A22,1))</f>
      </c>
      <c r="D22" s="2">
        <f>SUMIFS(Invoices[Total],Invoices[Status],"Posted",Invoices[Payment method],"Free",Invoices[Invoice date],"&gt;="&amp;A22,Invoices[Invoice date],"&lt;"&amp;EDATE(A22,1))</f>
      </c>
      <c r="E22" s="2">
        <f>SUMIFS(Invoices[Total],Invoices[Status],"Posted",Invoices[Payment method],"Split",Invoices[Invoice date],"&gt;="&amp;A22,Invoices[Invoice date],"&lt;"&amp;EDATE(A22,1))</f>
      </c>
      <c r="F22" s="2">
        <f>SUMIFS(Invoices[Total],Invoices[Status],"Posted",Invoices[Payment method],"Bank / other",Invoices[Invoice date],"&gt;="&amp;A22,Invoices[Invoice date],"&lt;"&amp;EDATE(A22,1))</f>
      </c>
      <c r="G22" s="2">
        <f>SUMIFS(Invoices[Total],Invoices[Status],"Posted",Invoices[Payment method],"Unpaid",Invoices[Invoice date],"&gt;="&amp;A22,Invoices[Invoice date],"&lt;"&amp;EDATE(A22,1))</f>
      </c>
      <c r="H22" s="2">
        <f>SUMIFS(Invoices[Total],Invoices[Status],"Posted",Invoices[Invoice date],"&gt;="&amp;A22,Invoices[Invoice date],"&lt;"&amp;EDATE(A22,1))</f>
      </c>
      <c r="I22">
        <f>COUNTIFS(Invoices[Status],"Posted",Invoices[Invoice date],"&gt;="&amp;A22,Invoices[Invoice date],"&lt;"&amp;EDATE(A22,1))</f>
      </c>
    </row>
    <row r="23">
      <c r="A23" s="3">
        <f>DATE(YEAR(TODAY()),MONTH(TODAY())-18,1)</f>
      </c>
      <c r="B23" s="2">
        <f>SUMIFS(Invoices[Total],Invoices[Status],"Posted",Invoices[Payment method],"Cash",Invoices[Invoice date],"&gt;="&amp;A23,Invoices[Invoice date],"&lt;"&amp;EDATE(A23,1))</f>
      </c>
      <c r="C23" s="2">
        <f>SUMIFS(Invoices[Total],Invoices[Status],"Posted",Invoices[Payment method],"Card",Invoices[Invoice date],"&gt;="&amp;A23,Invoices[Invoice date],"&lt;"&amp;EDATE(A23,1))</f>
      </c>
      <c r="D23" s="2">
        <f>SUMIFS(Invoices[Total],Invoices[Status],"Posted",Invoices[Payment method],"Free",Invoices[Invoice date],"&gt;="&amp;A23,Invoices[Invoice date],"&lt;"&amp;EDATE(A23,1))</f>
      </c>
      <c r="E23" s="2">
        <f>SUMIFS(Invoices[Total],Invoices[Status],"Posted",Invoices[Payment method],"Split",Invoices[Invoice date],"&gt;="&amp;A23,Invoices[Invoice date],"&lt;"&amp;EDATE(A23,1))</f>
      </c>
      <c r="F23" s="2">
        <f>SUMIFS(Invoices[Total],Invoices[Status],"Posted",Invoices[Payment method],"Bank / other",Invoices[Invoice date],"&gt;="&amp;A23,Invoices[Invoice date],"&lt;"&amp;EDATE(A23,1))</f>
      </c>
      <c r="G23" s="2">
        <f>SUMIFS(Invoices[Total],Invoices[Status],"Posted",Invoices[Payment method],"Unpaid",Invoices[Invoice date],"&gt;="&amp;A23,Invoices[Invoice date],"&lt;"&amp;EDATE(A23,1))</f>
      </c>
      <c r="H23" s="2">
        <f>SUMIFS(Invoices[Total],Invoices[Status],"Posted",Invoices[Invoice date],"&gt;="&amp;A23,Invoices[Invoice date],"&lt;"&amp;EDATE(A23,1))</f>
      </c>
      <c r="I23">
        <f>COUNTIFS(Invoices[Status],"Posted",Invoices[Invoice date],"&gt;="&amp;A23,Invoices[Invoice date],"&lt;"&amp;EDATE(A23,1))</f>
      </c>
    </row>
    <row r="24">
      <c r="A24" s="3">
        <f>DATE(YEAR(TODAY()),MONTH(TODAY())-19,1)</f>
      </c>
      <c r="B24" s="2">
        <f>SUMIFS(Invoices[Total],Invoices[Status],"Posted",Invoices[Payment method],"Cash",Invoices[Invoice date],"&gt;="&amp;A24,Invoices[Invoice date],"&lt;"&amp;EDATE(A24,1))</f>
      </c>
      <c r="C24" s="2">
        <f>SUMIFS(Invoices[Total],Invoices[Status],"Posted",Invoices[Payment method],"Card",Invoices[Invoice date],"&gt;="&amp;A24,Invoices[Invoice date],"&lt;"&amp;EDATE(A24,1))</f>
      </c>
      <c r="D24" s="2">
        <f>SUMIFS(Invoices[Total],Invoices[Status],"Posted",Invoices[Payment method],"Free",Invoices[Invoice date],"&gt;="&amp;A24,Invoices[Invoice date],"&lt;"&amp;EDATE(A24,1))</f>
      </c>
      <c r="E24" s="2">
        <f>SUMIFS(Invoices[Total],Invoices[Status],"Posted",Invoices[Payment method],"Split",Invoices[Invoice date],"&gt;="&amp;A24,Invoices[Invoice date],"&lt;"&amp;EDATE(A24,1))</f>
      </c>
      <c r="F24" s="2">
        <f>SUMIFS(Invoices[Total],Invoices[Status],"Posted",Invoices[Payment method],"Bank / other",Invoices[Invoice date],"&gt;="&amp;A24,Invoices[Invoice date],"&lt;"&amp;EDATE(A24,1))</f>
      </c>
      <c r="G24" s="2">
        <f>SUMIFS(Invoices[Total],Invoices[Status],"Posted",Invoices[Payment method],"Unpaid",Invoices[Invoice date],"&gt;="&amp;A24,Invoices[Invoice date],"&lt;"&amp;EDATE(A24,1))</f>
      </c>
      <c r="H24" s="2">
        <f>SUMIFS(Invoices[Total],Invoices[Status],"Posted",Invoices[Invoice date],"&gt;="&amp;A24,Invoices[Invoice date],"&lt;"&amp;EDATE(A24,1))</f>
      </c>
      <c r="I24">
        <f>COUNTIFS(Invoices[Status],"Posted",Invoices[Invoice date],"&gt;="&amp;A24,Invoices[Invoice date],"&lt;"&amp;EDATE(A24,1))</f>
      </c>
    </row>
    <row r="25">
      <c r="A25" s="3">
        <f>DATE(YEAR(TODAY()),MONTH(TODAY())-20,1)</f>
      </c>
      <c r="B25" s="2">
        <f>SUMIFS(Invoices[Total],Invoices[Status],"Posted",Invoices[Payment method],"Cash",Invoices[Invoice date],"&gt;="&amp;A25,Invoices[Invoice date],"&lt;"&amp;EDATE(A25,1))</f>
      </c>
      <c r="C25" s="2">
        <f>SUMIFS(Invoices[Total],Invoices[Status],"Posted",Invoices[Payment method],"Card",Invoices[Invoice date],"&gt;="&amp;A25,Invoices[Invoice date],"&lt;"&amp;EDATE(A25,1))</f>
      </c>
      <c r="D25" s="2">
        <f>SUMIFS(Invoices[Total],Invoices[Status],"Posted",Invoices[Payment method],"Free",Invoices[Invoice date],"&gt;="&amp;A25,Invoices[Invoice date],"&lt;"&amp;EDATE(A25,1))</f>
      </c>
      <c r="E25" s="2">
        <f>SUMIFS(Invoices[Total],Invoices[Status],"Posted",Invoices[Payment method],"Split",Invoices[Invoice date],"&gt;="&amp;A25,Invoices[Invoice date],"&lt;"&amp;EDATE(A25,1))</f>
      </c>
      <c r="F25" s="2">
        <f>SUMIFS(Invoices[Total],Invoices[Status],"Posted",Invoices[Payment method],"Bank / other",Invoices[Invoice date],"&gt;="&amp;A25,Invoices[Invoice date],"&lt;"&amp;EDATE(A25,1))</f>
      </c>
      <c r="G25" s="2">
        <f>SUMIFS(Invoices[Total],Invoices[Status],"Posted",Invoices[Payment method],"Unpaid",Invoices[Invoice date],"&gt;="&amp;A25,Invoices[Invoice date],"&lt;"&amp;EDATE(A25,1))</f>
      </c>
      <c r="H25" s="2">
        <f>SUMIFS(Invoices[Total],Invoices[Status],"Posted",Invoices[Invoice date],"&gt;="&amp;A25,Invoices[Invoice date],"&lt;"&amp;EDATE(A25,1))</f>
      </c>
      <c r="I25">
        <f>COUNTIFS(Invoices[Status],"Posted",Invoices[Invoice date],"&gt;="&amp;A25,Invoices[Invoice date],"&lt;"&amp;EDATE(A25,1))</f>
      </c>
    </row>
    <row r="26">
      <c r="A26" s="3">
        <f>DATE(YEAR(TODAY()),MONTH(TODAY())-21,1)</f>
      </c>
      <c r="B26" s="2">
        <f>SUMIFS(Invoices[Total],Invoices[Status],"Posted",Invoices[Payment method],"Cash",Invoices[Invoice date],"&gt;="&amp;A26,Invoices[Invoice date],"&lt;"&amp;EDATE(A26,1))</f>
      </c>
      <c r="C26" s="2">
        <f>SUMIFS(Invoices[Total],Invoices[Status],"Posted",Invoices[Payment method],"Card",Invoices[Invoice date],"&gt;="&amp;A26,Invoices[Invoice date],"&lt;"&amp;EDATE(A26,1))</f>
      </c>
      <c r="D26" s="2">
        <f>SUMIFS(Invoices[Total],Invoices[Status],"Posted",Invoices[Payment method],"Free",Invoices[Invoice date],"&gt;="&amp;A26,Invoices[Invoice date],"&lt;"&amp;EDATE(A26,1))</f>
      </c>
      <c r="E26" s="2">
        <f>SUMIFS(Invoices[Total],Invoices[Status],"Posted",Invoices[Payment method],"Split",Invoices[Invoice date],"&gt;="&amp;A26,Invoices[Invoice date],"&lt;"&amp;EDATE(A26,1))</f>
      </c>
      <c r="F26" s="2">
        <f>SUMIFS(Invoices[Total],Invoices[Status],"Posted",Invoices[Payment method],"Bank / other",Invoices[Invoice date],"&gt;="&amp;A26,Invoices[Invoice date],"&lt;"&amp;EDATE(A26,1))</f>
      </c>
      <c r="G26" s="2">
        <f>SUMIFS(Invoices[Total],Invoices[Status],"Posted",Invoices[Payment method],"Unpaid",Invoices[Invoice date],"&gt;="&amp;A26,Invoices[Invoice date],"&lt;"&amp;EDATE(A26,1))</f>
      </c>
      <c r="H26" s="2">
        <f>SUMIFS(Invoices[Total],Invoices[Status],"Posted",Invoices[Invoice date],"&gt;="&amp;A26,Invoices[Invoice date],"&lt;"&amp;EDATE(A26,1))</f>
      </c>
      <c r="I26">
        <f>COUNTIFS(Invoices[Status],"Posted",Invoices[Invoice date],"&gt;="&amp;A26,Invoices[Invoice date],"&lt;"&amp;EDATE(A26,1))</f>
      </c>
    </row>
    <row r="27">
      <c r="A27" s="3">
        <f>DATE(YEAR(TODAY()),MONTH(TODAY())-22,1)</f>
      </c>
      <c r="B27" s="2">
        <f>SUMIFS(Invoices[Total],Invoices[Status],"Posted",Invoices[Payment method],"Cash",Invoices[Invoice date],"&gt;="&amp;A27,Invoices[Invoice date],"&lt;"&amp;EDATE(A27,1))</f>
      </c>
      <c r="C27" s="2">
        <f>SUMIFS(Invoices[Total],Invoices[Status],"Posted",Invoices[Payment method],"Card",Invoices[Invoice date],"&gt;="&amp;A27,Invoices[Invoice date],"&lt;"&amp;EDATE(A27,1))</f>
      </c>
      <c r="D27" s="2">
        <f>SUMIFS(Invoices[Total],Invoices[Status],"Posted",Invoices[Payment method],"Free",Invoices[Invoice date],"&gt;="&amp;A27,Invoices[Invoice date],"&lt;"&amp;EDATE(A27,1))</f>
      </c>
      <c r="E27" s="2">
        <f>SUMIFS(Invoices[Total],Invoices[Status],"Posted",Invoices[Payment method],"Split",Invoices[Invoice date],"&gt;="&amp;A27,Invoices[Invoice date],"&lt;"&amp;EDATE(A27,1))</f>
      </c>
      <c r="F27" s="2">
        <f>SUMIFS(Invoices[Total],Invoices[Status],"Posted",Invoices[Payment method],"Bank / other",Invoices[Invoice date],"&gt;="&amp;A27,Invoices[Invoice date],"&lt;"&amp;EDATE(A27,1))</f>
      </c>
      <c r="G27" s="2">
        <f>SUMIFS(Invoices[Total],Invoices[Status],"Posted",Invoices[Payment method],"Unpaid",Invoices[Invoice date],"&gt;="&amp;A27,Invoices[Invoice date],"&lt;"&amp;EDATE(A27,1))</f>
      </c>
      <c r="H27" s="2">
        <f>SUMIFS(Invoices[Total],Invoices[Status],"Posted",Invoices[Invoice date],"&gt;="&amp;A27,Invoices[Invoice date],"&lt;"&amp;EDATE(A27,1))</f>
      </c>
      <c r="I27">
        <f>COUNTIFS(Invoices[Status],"Posted",Invoices[Invoice date],"&gt;="&amp;A27,Invoices[Invoice date],"&lt;"&amp;EDATE(A27,1))</f>
      </c>
    </row>
    <row r="28">
      <c r="A28" s="3">
        <f>DATE(YEAR(TODAY()),MONTH(TODAY())-23,1)</f>
      </c>
      <c r="B28" s="2">
        <f>SUMIFS(Invoices[Total],Invoices[Status],"Posted",Invoices[Payment method],"Cash",Invoices[Invoice date],"&gt;="&amp;A28,Invoices[Invoice date],"&lt;"&amp;EDATE(A28,1))</f>
      </c>
      <c r="C28" s="2">
        <f>SUMIFS(Invoices[Total],Invoices[Status],"Posted",Invoices[Payment method],"Card",Invoices[Invoice date],"&gt;="&amp;A28,Invoices[Invoice date],"&lt;"&amp;EDATE(A28,1))</f>
      </c>
      <c r="D28" s="2">
        <f>SUMIFS(Invoices[Total],Invoices[Status],"Posted",Invoices[Payment method],"Free",Invoices[Invoice date],"&gt;="&amp;A28,Invoices[Invoice date],"&lt;"&amp;EDATE(A28,1))</f>
      </c>
      <c r="E28" s="2">
        <f>SUMIFS(Invoices[Total],Invoices[Status],"Posted",Invoices[Payment method],"Split",Invoices[Invoice date],"&gt;="&amp;A28,Invoices[Invoice date],"&lt;"&amp;EDATE(A28,1))</f>
      </c>
      <c r="F28" s="2">
        <f>SUMIFS(Invoices[Total],Invoices[Status],"Posted",Invoices[Payment method],"Bank / other",Invoices[Invoice date],"&gt;="&amp;A28,Invoices[Invoice date],"&lt;"&amp;EDATE(A28,1))</f>
      </c>
      <c r="G28" s="2">
        <f>SUMIFS(Invoices[Total],Invoices[Status],"Posted",Invoices[Payment method],"Unpaid",Invoices[Invoice date],"&gt;="&amp;A28,Invoices[Invoice date],"&lt;"&amp;EDATE(A28,1))</f>
      </c>
      <c r="H28" s="2">
        <f>SUMIFS(Invoices[Total],Invoices[Status],"Posted",Invoices[Invoice date],"&gt;="&amp;A28,Invoices[Invoice date],"&lt;"&amp;EDATE(A28,1))</f>
      </c>
      <c r="I28">
        <f>COUNTIFS(Invoices[Status],"Posted",Invoices[Invoice date],"&gt;="&amp;A28,Invoices[Invoice date],"&lt;"&amp;EDATE(A28,1))</f>
      </c>
    </row>
    <row r="30">
      <c r="A30" t="inlineStr" s="1">
        <is>
          <t xml:space="preserve">Day</t>
        </is>
      </c>
      <c r="B30" t="inlineStr" s="1">
        <is>
          <t xml:space="preserve">Cash</t>
        </is>
      </c>
      <c r="C30" t="inlineStr" s="1">
        <is>
          <t xml:space="preserve">Card</t>
        </is>
      </c>
      <c r="D30" t="inlineStr" s="1">
        <is>
          <t xml:space="preserve">Free</t>
        </is>
      </c>
      <c r="E30" t="inlineStr" s="1">
        <is>
          <t xml:space="preserve">Split</t>
        </is>
      </c>
      <c r="F30" t="inlineStr" s="1">
        <is>
          <t xml:space="preserve">Bank / other</t>
        </is>
      </c>
      <c r="G30" t="inlineStr" s="1">
        <is>
          <t xml:space="preserve">Unpaid</t>
        </is>
      </c>
      <c r="H30" t="inlineStr" s="1">
        <is>
          <t xml:space="preserve">Total</t>
        </is>
      </c>
      <c r="I30" t="inlineStr" s="1">
        <is>
          <t xml:space="preserve">Invoices</t>
        </is>
      </c>
    </row>
    <row r="31">
      <c r="A31" s="3">
        <f>TODAY()-0</f>
      </c>
      <c r="B31" s="2">
        <f>SUMIFS(Invoices[Total],Invoices[Status],"Posted",Invoices[Payment method],"Cash",Invoices[Invoice date],A31)</f>
      </c>
      <c r="C31" s="2">
        <f>SUMIFS(Invoices[Total],Invoices[Status],"Posted",Invoices[Payment method],"Card",Invoices[Invoice date],A31)</f>
      </c>
      <c r="D31" s="2">
        <f>SUMIFS(Invoices[Total],Invoices[Status],"Posted",Invoices[Payment method],"Free",Invoices[Invoice date],A31)</f>
      </c>
      <c r="E31" s="2">
        <f>SUMIFS(Invoices[Total],Invoices[Status],"Posted",Invoices[Payment method],"Split",Invoices[Invoice date],A31)</f>
      </c>
      <c r="F31" s="2">
        <f>SUMIFS(Invoices[Total],Invoices[Status],"Posted",Invoices[Payment method],"Bank / other",Invoices[Invoice date],A31)</f>
      </c>
      <c r="G31" s="2">
        <f>SUMIFS(Invoices[Total],Invoices[Status],"Posted",Invoices[Payment method],"Unpaid",Invoices[Invoice date],A31)</f>
      </c>
      <c r="H31" s="2">
        <f>SUMIFS(Invoices[Total],Invoices[Status],"Posted",Invoices[Invoice date],A31)</f>
      </c>
      <c r="I31">
        <f>COUNTIFS(Invoices[Status],"Posted",Invoices[Invoice date],A31)</f>
      </c>
    </row>
    <row r="32">
      <c r="A32" s="3">
        <f>TODAY()-1</f>
      </c>
      <c r="B32" s="2">
        <f>SUMIFS(Invoices[Total],Invoices[Status],"Posted",Invoices[Payment method],"Cash",Invoices[Invoice date],A32)</f>
      </c>
      <c r="C32" s="2">
        <f>SUMIFS(Invoices[Total],Invoices[Status],"Posted",Invoices[Payment method],"Card",Invoices[Invoice date],A32)</f>
      </c>
      <c r="D32" s="2">
        <f>SUMIFS(Invoices[Total],Invoices[Status],"Posted",Invoices[Payment method],"Free",Invoices[Invoice date],A32)</f>
      </c>
      <c r="E32" s="2">
        <f>SUMIFS(Invoices[Total],Invoices[Status],"Posted",Invoices[Payment method],"Split",Invoices[Invoice date],A32)</f>
      </c>
      <c r="F32" s="2">
        <f>SUMIFS(Invoices[Total],Invoices[Status],"Posted",Invoices[Payment method],"Bank / other",Invoices[Invoice date],A32)</f>
      </c>
      <c r="G32" s="2">
        <f>SUMIFS(Invoices[Total],Invoices[Status],"Posted",Invoices[Payment method],"Unpaid",Invoices[Invoice date],A32)</f>
      </c>
      <c r="H32" s="2">
        <f>SUMIFS(Invoices[Total],Invoices[Status],"Posted",Invoices[Invoice date],A32)</f>
      </c>
      <c r="I32">
        <f>COUNTIFS(Invoices[Status],"Posted",Invoices[Invoice date],A32)</f>
      </c>
    </row>
    <row r="33">
      <c r="A33" s="3">
        <f>TODAY()-2</f>
      </c>
      <c r="B33" s="2">
        <f>SUMIFS(Invoices[Total],Invoices[Status],"Posted",Invoices[Payment method],"Cash",Invoices[Invoice date],A33)</f>
      </c>
      <c r="C33" s="2">
        <f>SUMIFS(Invoices[Total],Invoices[Status],"Posted",Invoices[Payment method],"Card",Invoices[Invoice date],A33)</f>
      </c>
      <c r="D33" s="2">
        <f>SUMIFS(Invoices[Total],Invoices[Status],"Posted",Invoices[Payment method],"Free",Invoices[Invoice date],A33)</f>
      </c>
      <c r="E33" s="2">
        <f>SUMIFS(Invoices[Total],Invoices[Status],"Posted",Invoices[Payment method],"Split",Invoices[Invoice date],A33)</f>
      </c>
      <c r="F33" s="2">
        <f>SUMIFS(Invoices[Total],Invoices[Status],"Posted",Invoices[Payment method],"Bank / other",Invoices[Invoice date],A33)</f>
      </c>
      <c r="G33" s="2">
        <f>SUMIFS(Invoices[Total],Invoices[Status],"Posted",Invoices[Payment method],"Unpaid",Invoices[Invoice date],A33)</f>
      </c>
      <c r="H33" s="2">
        <f>SUMIFS(Invoices[Total],Invoices[Status],"Posted",Invoices[Invoice date],A33)</f>
      </c>
      <c r="I33">
        <f>COUNTIFS(Invoices[Status],"Posted",Invoices[Invoice date],A33)</f>
      </c>
    </row>
    <row r="34">
      <c r="A34" s="3">
        <f>TODAY()-3</f>
      </c>
      <c r="B34" s="2">
        <f>SUMIFS(Invoices[Total],Invoices[Status],"Posted",Invoices[Payment method],"Cash",Invoices[Invoice date],A34)</f>
      </c>
      <c r="C34" s="2">
        <f>SUMIFS(Invoices[Total],Invoices[Status],"Posted",Invoices[Payment method],"Card",Invoices[Invoice date],A34)</f>
      </c>
      <c r="D34" s="2">
        <f>SUMIFS(Invoices[Total],Invoices[Status],"Posted",Invoices[Payment method],"Free",Invoices[Invoice date],A34)</f>
      </c>
      <c r="E34" s="2">
        <f>SUMIFS(Invoices[Total],Invoices[Status],"Posted",Invoices[Payment method],"Split",Invoices[Invoice date],A34)</f>
      </c>
      <c r="F34" s="2">
        <f>SUMIFS(Invoices[Total],Invoices[Status],"Posted",Invoices[Payment method],"Bank / other",Invoices[Invoice date],A34)</f>
      </c>
      <c r="G34" s="2">
        <f>SUMIFS(Invoices[Total],Invoices[Status],"Posted",Invoices[Payment method],"Unpaid",Invoices[Invoice date],A34)</f>
      </c>
      <c r="H34" s="2">
        <f>SUMIFS(Invoices[Total],Invoices[Status],"Posted",Invoices[Invoice date],A34)</f>
      </c>
      <c r="I34">
        <f>COUNTIFS(Invoices[Status],"Posted",Invoices[Invoice date],A34)</f>
      </c>
    </row>
    <row r="35">
      <c r="A35" s="3">
        <f>TODAY()-4</f>
      </c>
      <c r="B35" s="2">
        <f>SUMIFS(Invoices[Total],Invoices[Status],"Posted",Invoices[Payment method],"Cash",Invoices[Invoice date],A35)</f>
      </c>
      <c r="C35" s="2">
        <f>SUMIFS(Invoices[Total],Invoices[Status],"Posted",Invoices[Payment method],"Card",Invoices[Invoice date],A35)</f>
      </c>
      <c r="D35" s="2">
        <f>SUMIFS(Invoices[Total],Invoices[Status],"Posted",Invoices[Payment method],"Free",Invoices[Invoice date],A35)</f>
      </c>
      <c r="E35" s="2">
        <f>SUMIFS(Invoices[Total],Invoices[Status],"Posted",Invoices[Payment method],"Split",Invoices[Invoice date],A35)</f>
      </c>
      <c r="F35" s="2">
        <f>SUMIFS(Invoices[Total],Invoices[Status],"Posted",Invoices[Payment method],"Bank / other",Invoices[Invoice date],A35)</f>
      </c>
      <c r="G35" s="2">
        <f>SUMIFS(Invoices[Total],Invoices[Status],"Posted",Invoices[Payment method],"Unpaid",Invoices[Invoice date],A35)</f>
      </c>
      <c r="H35" s="2">
        <f>SUMIFS(Invoices[Total],Invoices[Status],"Posted",Invoices[Invoice date],A35)</f>
      </c>
      <c r="I35">
        <f>COUNTIFS(Invoices[Status],"Posted",Invoices[Invoice date],A35)</f>
      </c>
    </row>
    <row r="36">
      <c r="A36" s="3">
        <f>TODAY()-5</f>
      </c>
      <c r="B36" s="2">
        <f>SUMIFS(Invoices[Total],Invoices[Status],"Posted",Invoices[Payment method],"Cash",Invoices[Invoice date],A36)</f>
      </c>
      <c r="C36" s="2">
        <f>SUMIFS(Invoices[Total],Invoices[Status],"Posted",Invoices[Payment method],"Card",Invoices[Invoice date],A36)</f>
      </c>
      <c r="D36" s="2">
        <f>SUMIFS(Invoices[Total],Invoices[Status],"Posted",Invoices[Payment method],"Free",Invoices[Invoice date],A36)</f>
      </c>
      <c r="E36" s="2">
        <f>SUMIFS(Invoices[Total],Invoices[Status],"Posted",Invoices[Payment method],"Split",Invoices[Invoice date],A36)</f>
      </c>
      <c r="F36" s="2">
        <f>SUMIFS(Invoices[Total],Invoices[Status],"Posted",Invoices[Payment method],"Bank / other",Invoices[Invoice date],A36)</f>
      </c>
      <c r="G36" s="2">
        <f>SUMIFS(Invoices[Total],Invoices[Status],"Posted",Invoices[Payment method],"Unpaid",Invoices[Invoice date],A36)</f>
      </c>
      <c r="H36" s="2">
        <f>SUMIFS(Invoices[Total],Invoices[Status],"Posted",Invoices[Invoice date],A36)</f>
      </c>
      <c r="I36">
        <f>COUNTIFS(Invoices[Status],"Posted",Invoices[Invoice date],A36)</f>
      </c>
    </row>
    <row r="37">
      <c r="A37" s="3">
        <f>TODAY()-6</f>
      </c>
      <c r="B37" s="2">
        <f>SUMIFS(Invoices[Total],Invoices[Status],"Posted",Invoices[Payment method],"Cash",Invoices[Invoice date],A37)</f>
      </c>
      <c r="C37" s="2">
        <f>SUMIFS(Invoices[Total],Invoices[Status],"Posted",Invoices[Payment method],"Card",Invoices[Invoice date],A37)</f>
      </c>
      <c r="D37" s="2">
        <f>SUMIFS(Invoices[Total],Invoices[Status],"Posted",Invoices[Payment method],"Free",Invoices[Invoice date],A37)</f>
      </c>
      <c r="E37" s="2">
        <f>SUMIFS(Invoices[Total],Invoices[Status],"Posted",Invoices[Payment method],"Split",Invoices[Invoice date],A37)</f>
      </c>
      <c r="F37" s="2">
        <f>SUMIFS(Invoices[Total],Invoices[Status],"Posted",Invoices[Payment method],"Bank / other",Invoices[Invoice date],A37)</f>
      </c>
      <c r="G37" s="2">
        <f>SUMIFS(Invoices[Total],Invoices[Status],"Posted",Invoices[Payment method],"Unpaid",Invoices[Invoice date],A37)</f>
      </c>
      <c r="H37" s="2">
        <f>SUMIFS(Invoices[Total],Invoices[Status],"Posted",Invoices[Invoice date],A37)</f>
      </c>
      <c r="I37">
        <f>COUNTIFS(Invoices[Status],"Posted",Invoices[Invoice date],A37)</f>
      </c>
    </row>
    <row r="38">
      <c r="A38" s="3">
        <f>TODAY()-7</f>
      </c>
      <c r="B38" s="2">
        <f>SUMIFS(Invoices[Total],Invoices[Status],"Posted",Invoices[Payment method],"Cash",Invoices[Invoice date],A38)</f>
      </c>
      <c r="C38" s="2">
        <f>SUMIFS(Invoices[Total],Invoices[Status],"Posted",Invoices[Payment method],"Card",Invoices[Invoice date],A38)</f>
      </c>
      <c r="D38" s="2">
        <f>SUMIFS(Invoices[Total],Invoices[Status],"Posted",Invoices[Payment method],"Free",Invoices[Invoice date],A38)</f>
      </c>
      <c r="E38" s="2">
        <f>SUMIFS(Invoices[Total],Invoices[Status],"Posted",Invoices[Payment method],"Split",Invoices[Invoice date],A38)</f>
      </c>
      <c r="F38" s="2">
        <f>SUMIFS(Invoices[Total],Invoices[Status],"Posted",Invoices[Payment method],"Bank / other",Invoices[Invoice date],A38)</f>
      </c>
      <c r="G38" s="2">
        <f>SUMIFS(Invoices[Total],Invoices[Status],"Posted",Invoices[Payment method],"Unpaid",Invoices[Invoice date],A38)</f>
      </c>
      <c r="H38" s="2">
        <f>SUMIFS(Invoices[Total],Invoices[Status],"Posted",Invoices[Invoice date],A38)</f>
      </c>
      <c r="I38">
        <f>COUNTIFS(Invoices[Status],"Posted",Invoices[Invoice date],A38)</f>
      </c>
    </row>
    <row r="39">
      <c r="A39" s="3">
        <f>TODAY()-8</f>
      </c>
      <c r="B39" s="2">
        <f>SUMIFS(Invoices[Total],Invoices[Status],"Posted",Invoices[Payment method],"Cash",Invoices[Invoice date],A39)</f>
      </c>
      <c r="C39" s="2">
        <f>SUMIFS(Invoices[Total],Invoices[Status],"Posted",Invoices[Payment method],"Card",Invoices[Invoice date],A39)</f>
      </c>
      <c r="D39" s="2">
        <f>SUMIFS(Invoices[Total],Invoices[Status],"Posted",Invoices[Payment method],"Free",Invoices[Invoice date],A39)</f>
      </c>
      <c r="E39" s="2">
        <f>SUMIFS(Invoices[Total],Invoices[Status],"Posted",Invoices[Payment method],"Split",Invoices[Invoice date],A39)</f>
      </c>
      <c r="F39" s="2">
        <f>SUMIFS(Invoices[Total],Invoices[Status],"Posted",Invoices[Payment method],"Bank / other",Invoices[Invoice date],A39)</f>
      </c>
      <c r="G39" s="2">
        <f>SUMIFS(Invoices[Total],Invoices[Status],"Posted",Invoices[Payment method],"Unpaid",Invoices[Invoice date],A39)</f>
      </c>
      <c r="H39" s="2">
        <f>SUMIFS(Invoices[Total],Invoices[Status],"Posted",Invoices[Invoice date],A39)</f>
      </c>
      <c r="I39">
        <f>COUNTIFS(Invoices[Status],"Posted",Invoices[Invoice date],A39)</f>
      </c>
    </row>
    <row r="40">
      <c r="A40" s="3">
        <f>TODAY()-9</f>
      </c>
      <c r="B40" s="2">
        <f>SUMIFS(Invoices[Total],Invoices[Status],"Posted",Invoices[Payment method],"Cash",Invoices[Invoice date],A40)</f>
      </c>
      <c r="C40" s="2">
        <f>SUMIFS(Invoices[Total],Invoices[Status],"Posted",Invoices[Payment method],"Card",Invoices[Invoice date],A40)</f>
      </c>
      <c r="D40" s="2">
        <f>SUMIFS(Invoices[Total],Invoices[Status],"Posted",Invoices[Payment method],"Free",Invoices[Invoice date],A40)</f>
      </c>
      <c r="E40" s="2">
        <f>SUMIFS(Invoices[Total],Invoices[Status],"Posted",Invoices[Payment method],"Split",Invoices[Invoice date],A40)</f>
      </c>
      <c r="F40" s="2">
        <f>SUMIFS(Invoices[Total],Invoices[Status],"Posted",Invoices[Payment method],"Bank / other",Invoices[Invoice date],A40)</f>
      </c>
      <c r="G40" s="2">
        <f>SUMIFS(Invoices[Total],Invoices[Status],"Posted",Invoices[Payment method],"Unpaid",Invoices[Invoice date],A40)</f>
      </c>
      <c r="H40" s="2">
        <f>SUMIFS(Invoices[Total],Invoices[Status],"Posted",Invoices[Invoice date],A40)</f>
      </c>
      <c r="I40">
        <f>COUNTIFS(Invoices[Status],"Posted",Invoices[Invoice date],A40)</f>
      </c>
    </row>
    <row r="41">
      <c r="A41" s="3">
        <f>TODAY()-10</f>
      </c>
      <c r="B41" s="2">
        <f>SUMIFS(Invoices[Total],Invoices[Status],"Posted",Invoices[Payment method],"Cash",Invoices[Invoice date],A41)</f>
      </c>
      <c r="C41" s="2">
        <f>SUMIFS(Invoices[Total],Invoices[Status],"Posted",Invoices[Payment method],"Card",Invoices[Invoice date],A41)</f>
      </c>
      <c r="D41" s="2">
        <f>SUMIFS(Invoices[Total],Invoices[Status],"Posted",Invoices[Payment method],"Free",Invoices[Invoice date],A41)</f>
      </c>
      <c r="E41" s="2">
        <f>SUMIFS(Invoices[Total],Invoices[Status],"Posted",Invoices[Payment method],"Split",Invoices[Invoice date],A41)</f>
      </c>
      <c r="F41" s="2">
        <f>SUMIFS(Invoices[Total],Invoices[Status],"Posted",Invoices[Payment method],"Bank / other",Invoices[Invoice date],A41)</f>
      </c>
      <c r="G41" s="2">
        <f>SUMIFS(Invoices[Total],Invoices[Status],"Posted",Invoices[Payment method],"Unpaid",Invoices[Invoice date],A41)</f>
      </c>
      <c r="H41" s="2">
        <f>SUMIFS(Invoices[Total],Invoices[Status],"Posted",Invoices[Invoice date],A41)</f>
      </c>
      <c r="I41">
        <f>COUNTIFS(Invoices[Status],"Posted",Invoices[Invoice date],A41)</f>
      </c>
    </row>
    <row r="42">
      <c r="A42" s="3">
        <f>TODAY()-11</f>
      </c>
      <c r="B42" s="2">
        <f>SUMIFS(Invoices[Total],Invoices[Status],"Posted",Invoices[Payment method],"Cash",Invoices[Invoice date],A42)</f>
      </c>
      <c r="C42" s="2">
        <f>SUMIFS(Invoices[Total],Invoices[Status],"Posted",Invoices[Payment method],"Card",Invoices[Invoice date],A42)</f>
      </c>
      <c r="D42" s="2">
        <f>SUMIFS(Invoices[Total],Invoices[Status],"Posted",Invoices[Payment method],"Free",Invoices[Invoice date],A42)</f>
      </c>
      <c r="E42" s="2">
        <f>SUMIFS(Invoices[Total],Invoices[Status],"Posted",Invoices[Payment method],"Split",Invoices[Invoice date],A42)</f>
      </c>
      <c r="F42" s="2">
        <f>SUMIFS(Invoices[Total],Invoices[Status],"Posted",Invoices[Payment method],"Bank / other",Invoices[Invoice date],A42)</f>
      </c>
      <c r="G42" s="2">
        <f>SUMIFS(Invoices[Total],Invoices[Status],"Posted",Invoices[Payment method],"Unpaid",Invoices[Invoice date],A42)</f>
      </c>
      <c r="H42" s="2">
        <f>SUMIFS(Invoices[Total],Invoices[Status],"Posted",Invoices[Invoice date],A42)</f>
      </c>
      <c r="I42">
        <f>COUNTIFS(Invoices[Status],"Posted",Invoices[Invoice date],A42)</f>
      </c>
    </row>
    <row r="43">
      <c r="A43" s="3">
        <f>TODAY()-12</f>
      </c>
      <c r="B43" s="2">
        <f>SUMIFS(Invoices[Total],Invoices[Status],"Posted",Invoices[Payment method],"Cash",Invoices[Invoice date],A43)</f>
      </c>
      <c r="C43" s="2">
        <f>SUMIFS(Invoices[Total],Invoices[Status],"Posted",Invoices[Payment method],"Card",Invoices[Invoice date],A43)</f>
      </c>
      <c r="D43" s="2">
        <f>SUMIFS(Invoices[Total],Invoices[Status],"Posted",Invoices[Payment method],"Free",Invoices[Invoice date],A43)</f>
      </c>
      <c r="E43" s="2">
        <f>SUMIFS(Invoices[Total],Invoices[Status],"Posted",Invoices[Payment method],"Split",Invoices[Invoice date],A43)</f>
      </c>
      <c r="F43" s="2">
        <f>SUMIFS(Invoices[Total],Invoices[Status],"Posted",Invoices[Payment method],"Bank / other",Invoices[Invoice date],A43)</f>
      </c>
      <c r="G43" s="2">
        <f>SUMIFS(Invoices[Total],Invoices[Status],"Posted",Invoices[Payment method],"Unpaid",Invoices[Invoice date],A43)</f>
      </c>
      <c r="H43" s="2">
        <f>SUMIFS(Invoices[Total],Invoices[Status],"Posted",Invoices[Invoice date],A43)</f>
      </c>
      <c r="I43">
        <f>COUNTIFS(Invoices[Status],"Posted",Invoices[Invoice date],A43)</f>
      </c>
    </row>
    <row r="44">
      <c r="A44" s="3">
        <f>TODAY()-13</f>
      </c>
      <c r="B44" s="2">
        <f>SUMIFS(Invoices[Total],Invoices[Status],"Posted",Invoices[Payment method],"Cash",Invoices[Invoice date],A44)</f>
      </c>
      <c r="C44" s="2">
        <f>SUMIFS(Invoices[Total],Invoices[Status],"Posted",Invoices[Payment method],"Card",Invoices[Invoice date],A44)</f>
      </c>
      <c r="D44" s="2">
        <f>SUMIFS(Invoices[Total],Invoices[Status],"Posted",Invoices[Payment method],"Free",Invoices[Invoice date],A44)</f>
      </c>
      <c r="E44" s="2">
        <f>SUMIFS(Invoices[Total],Invoices[Status],"Posted",Invoices[Payment method],"Split",Invoices[Invoice date],A44)</f>
      </c>
      <c r="F44" s="2">
        <f>SUMIFS(Invoices[Total],Invoices[Status],"Posted",Invoices[Payment method],"Bank / other",Invoices[Invoice date],A44)</f>
      </c>
      <c r="G44" s="2">
        <f>SUMIFS(Invoices[Total],Invoices[Status],"Posted",Invoices[Payment method],"Unpaid",Invoices[Invoice date],A44)</f>
      </c>
      <c r="H44" s="2">
        <f>SUMIFS(Invoices[Total],Invoices[Status],"Posted",Invoices[Invoice date],A44)</f>
      </c>
      <c r="I44">
        <f>COUNTIFS(Invoices[Status],"Posted",Invoices[Invoice date],A44)</f>
      </c>
    </row>
    <row r="45">
      <c r="A45" s="3">
        <f>TODAY()-14</f>
      </c>
      <c r="B45" s="2">
        <f>SUMIFS(Invoices[Total],Invoices[Status],"Posted",Invoices[Payment method],"Cash",Invoices[Invoice date],A45)</f>
      </c>
      <c r="C45" s="2">
        <f>SUMIFS(Invoices[Total],Invoices[Status],"Posted",Invoices[Payment method],"Card",Invoices[Invoice date],A45)</f>
      </c>
      <c r="D45" s="2">
        <f>SUMIFS(Invoices[Total],Invoices[Status],"Posted",Invoices[Payment method],"Free",Invoices[Invoice date],A45)</f>
      </c>
      <c r="E45" s="2">
        <f>SUMIFS(Invoices[Total],Invoices[Status],"Posted",Invoices[Payment method],"Split",Invoices[Invoice date],A45)</f>
      </c>
      <c r="F45" s="2">
        <f>SUMIFS(Invoices[Total],Invoices[Status],"Posted",Invoices[Payment method],"Bank / other",Invoices[Invoice date],A45)</f>
      </c>
      <c r="G45" s="2">
        <f>SUMIFS(Invoices[Total],Invoices[Status],"Posted",Invoices[Payment method],"Unpaid",Invoices[Invoice date],A45)</f>
      </c>
      <c r="H45" s="2">
        <f>SUMIFS(Invoices[Total],Invoices[Status],"Posted",Invoices[Invoice date],A45)</f>
      </c>
      <c r="I45">
        <f>COUNTIFS(Invoices[Status],"Posted",Invoices[Invoice date],A45)</f>
      </c>
    </row>
    <row r="46">
      <c r="A46" s="3">
        <f>TODAY()-15</f>
      </c>
      <c r="B46" s="2">
        <f>SUMIFS(Invoices[Total],Invoices[Status],"Posted",Invoices[Payment method],"Cash",Invoices[Invoice date],A46)</f>
      </c>
      <c r="C46" s="2">
        <f>SUMIFS(Invoices[Total],Invoices[Status],"Posted",Invoices[Payment method],"Card",Invoices[Invoice date],A46)</f>
      </c>
      <c r="D46" s="2">
        <f>SUMIFS(Invoices[Total],Invoices[Status],"Posted",Invoices[Payment method],"Free",Invoices[Invoice date],A46)</f>
      </c>
      <c r="E46" s="2">
        <f>SUMIFS(Invoices[Total],Invoices[Status],"Posted",Invoices[Payment method],"Split",Invoices[Invoice date],A46)</f>
      </c>
      <c r="F46" s="2">
        <f>SUMIFS(Invoices[Total],Invoices[Status],"Posted",Invoices[Payment method],"Bank / other",Invoices[Invoice date],A46)</f>
      </c>
      <c r="G46" s="2">
        <f>SUMIFS(Invoices[Total],Invoices[Status],"Posted",Invoices[Payment method],"Unpaid",Invoices[Invoice date],A46)</f>
      </c>
      <c r="H46" s="2">
        <f>SUMIFS(Invoices[Total],Invoices[Status],"Posted",Invoices[Invoice date],A46)</f>
      </c>
      <c r="I46">
        <f>COUNTIFS(Invoices[Status],"Posted",Invoices[Invoice date],A46)</f>
      </c>
    </row>
    <row r="47">
      <c r="A47" s="3">
        <f>TODAY()-16</f>
      </c>
      <c r="B47" s="2">
        <f>SUMIFS(Invoices[Total],Invoices[Status],"Posted",Invoices[Payment method],"Cash",Invoices[Invoice date],A47)</f>
      </c>
      <c r="C47" s="2">
        <f>SUMIFS(Invoices[Total],Invoices[Status],"Posted",Invoices[Payment method],"Card",Invoices[Invoice date],A47)</f>
      </c>
      <c r="D47" s="2">
        <f>SUMIFS(Invoices[Total],Invoices[Status],"Posted",Invoices[Payment method],"Free",Invoices[Invoice date],A47)</f>
      </c>
      <c r="E47" s="2">
        <f>SUMIFS(Invoices[Total],Invoices[Status],"Posted",Invoices[Payment method],"Split",Invoices[Invoice date],A47)</f>
      </c>
      <c r="F47" s="2">
        <f>SUMIFS(Invoices[Total],Invoices[Status],"Posted",Invoices[Payment method],"Bank / other",Invoices[Invoice date],A47)</f>
      </c>
      <c r="G47" s="2">
        <f>SUMIFS(Invoices[Total],Invoices[Status],"Posted",Invoices[Payment method],"Unpaid",Invoices[Invoice date],A47)</f>
      </c>
      <c r="H47" s="2">
        <f>SUMIFS(Invoices[Total],Invoices[Status],"Posted",Invoices[Invoice date],A47)</f>
      </c>
      <c r="I47">
        <f>COUNTIFS(Invoices[Status],"Posted",Invoices[Invoice date],A47)</f>
      </c>
    </row>
    <row r="48">
      <c r="A48" s="3">
        <f>TODAY()-17</f>
      </c>
      <c r="B48" s="2">
        <f>SUMIFS(Invoices[Total],Invoices[Status],"Posted",Invoices[Payment method],"Cash",Invoices[Invoice date],A48)</f>
      </c>
      <c r="C48" s="2">
        <f>SUMIFS(Invoices[Total],Invoices[Status],"Posted",Invoices[Payment method],"Card",Invoices[Invoice date],A48)</f>
      </c>
      <c r="D48" s="2">
        <f>SUMIFS(Invoices[Total],Invoices[Status],"Posted",Invoices[Payment method],"Free",Invoices[Invoice date],A48)</f>
      </c>
      <c r="E48" s="2">
        <f>SUMIFS(Invoices[Total],Invoices[Status],"Posted",Invoices[Payment method],"Split",Invoices[Invoice date],A48)</f>
      </c>
      <c r="F48" s="2">
        <f>SUMIFS(Invoices[Total],Invoices[Status],"Posted",Invoices[Payment method],"Bank / other",Invoices[Invoice date],A48)</f>
      </c>
      <c r="G48" s="2">
        <f>SUMIFS(Invoices[Total],Invoices[Status],"Posted",Invoices[Payment method],"Unpaid",Invoices[Invoice date],A48)</f>
      </c>
      <c r="H48" s="2">
        <f>SUMIFS(Invoices[Total],Invoices[Status],"Posted",Invoices[Invoice date],A48)</f>
      </c>
      <c r="I48">
        <f>COUNTIFS(Invoices[Status],"Posted",Invoices[Invoice date],A48)</f>
      </c>
    </row>
    <row r="49">
      <c r="A49" s="3">
        <f>TODAY()-18</f>
      </c>
      <c r="B49" s="2">
        <f>SUMIFS(Invoices[Total],Invoices[Status],"Posted",Invoices[Payment method],"Cash",Invoices[Invoice date],A49)</f>
      </c>
      <c r="C49" s="2">
        <f>SUMIFS(Invoices[Total],Invoices[Status],"Posted",Invoices[Payment method],"Card",Invoices[Invoice date],A49)</f>
      </c>
      <c r="D49" s="2">
        <f>SUMIFS(Invoices[Total],Invoices[Status],"Posted",Invoices[Payment method],"Free",Invoices[Invoice date],A49)</f>
      </c>
      <c r="E49" s="2">
        <f>SUMIFS(Invoices[Total],Invoices[Status],"Posted",Invoices[Payment method],"Split",Invoices[Invoice date],A49)</f>
      </c>
      <c r="F49" s="2">
        <f>SUMIFS(Invoices[Total],Invoices[Status],"Posted",Invoices[Payment method],"Bank / other",Invoices[Invoice date],A49)</f>
      </c>
      <c r="G49" s="2">
        <f>SUMIFS(Invoices[Total],Invoices[Status],"Posted",Invoices[Payment method],"Unpaid",Invoices[Invoice date],A49)</f>
      </c>
      <c r="H49" s="2">
        <f>SUMIFS(Invoices[Total],Invoices[Status],"Posted",Invoices[Invoice date],A49)</f>
      </c>
      <c r="I49">
        <f>COUNTIFS(Invoices[Status],"Posted",Invoices[Invoice date],A49)</f>
      </c>
    </row>
    <row r="50">
      <c r="A50" s="3">
        <f>TODAY()-19</f>
      </c>
      <c r="B50" s="2">
        <f>SUMIFS(Invoices[Total],Invoices[Status],"Posted",Invoices[Payment method],"Cash",Invoices[Invoice date],A50)</f>
      </c>
      <c r="C50" s="2">
        <f>SUMIFS(Invoices[Total],Invoices[Status],"Posted",Invoices[Payment method],"Card",Invoices[Invoice date],A50)</f>
      </c>
      <c r="D50" s="2">
        <f>SUMIFS(Invoices[Total],Invoices[Status],"Posted",Invoices[Payment method],"Free",Invoices[Invoice date],A50)</f>
      </c>
      <c r="E50" s="2">
        <f>SUMIFS(Invoices[Total],Invoices[Status],"Posted",Invoices[Payment method],"Split",Invoices[Invoice date],A50)</f>
      </c>
      <c r="F50" s="2">
        <f>SUMIFS(Invoices[Total],Invoices[Status],"Posted",Invoices[Payment method],"Bank / other",Invoices[Invoice date],A50)</f>
      </c>
      <c r="G50" s="2">
        <f>SUMIFS(Invoices[Total],Invoices[Status],"Posted",Invoices[Payment method],"Unpaid",Invoices[Invoice date],A50)</f>
      </c>
      <c r="H50" s="2">
        <f>SUMIFS(Invoices[Total],Invoices[Status],"Posted",Invoices[Invoice date],A50)</f>
      </c>
      <c r="I50">
        <f>COUNTIFS(Invoices[Status],"Posted",Invoices[Invoice date],A50)</f>
      </c>
    </row>
    <row r="51">
      <c r="A51" s="3">
        <f>TODAY()-20</f>
      </c>
      <c r="B51" s="2">
        <f>SUMIFS(Invoices[Total],Invoices[Status],"Posted",Invoices[Payment method],"Cash",Invoices[Invoice date],A51)</f>
      </c>
      <c r="C51" s="2">
        <f>SUMIFS(Invoices[Total],Invoices[Status],"Posted",Invoices[Payment method],"Card",Invoices[Invoice date],A51)</f>
      </c>
      <c r="D51" s="2">
        <f>SUMIFS(Invoices[Total],Invoices[Status],"Posted",Invoices[Payment method],"Free",Invoices[Invoice date],A51)</f>
      </c>
      <c r="E51" s="2">
        <f>SUMIFS(Invoices[Total],Invoices[Status],"Posted",Invoices[Payment method],"Split",Invoices[Invoice date],A51)</f>
      </c>
      <c r="F51" s="2">
        <f>SUMIFS(Invoices[Total],Invoices[Status],"Posted",Invoices[Payment method],"Bank / other",Invoices[Invoice date],A51)</f>
      </c>
      <c r="G51" s="2">
        <f>SUMIFS(Invoices[Total],Invoices[Status],"Posted",Invoices[Payment method],"Unpaid",Invoices[Invoice date],A51)</f>
      </c>
      <c r="H51" s="2">
        <f>SUMIFS(Invoices[Total],Invoices[Status],"Posted",Invoices[Invoice date],A51)</f>
      </c>
      <c r="I51">
        <f>COUNTIFS(Invoices[Status],"Posted",Invoices[Invoice date],A51)</f>
      </c>
    </row>
    <row r="52">
      <c r="A52" s="3">
        <f>TODAY()-21</f>
      </c>
      <c r="B52" s="2">
        <f>SUMIFS(Invoices[Total],Invoices[Status],"Posted",Invoices[Payment method],"Cash",Invoices[Invoice date],A52)</f>
      </c>
      <c r="C52" s="2">
        <f>SUMIFS(Invoices[Total],Invoices[Status],"Posted",Invoices[Payment method],"Card",Invoices[Invoice date],A52)</f>
      </c>
      <c r="D52" s="2">
        <f>SUMIFS(Invoices[Total],Invoices[Status],"Posted",Invoices[Payment method],"Free",Invoices[Invoice date],A52)</f>
      </c>
      <c r="E52" s="2">
        <f>SUMIFS(Invoices[Total],Invoices[Status],"Posted",Invoices[Payment method],"Split",Invoices[Invoice date],A52)</f>
      </c>
      <c r="F52" s="2">
        <f>SUMIFS(Invoices[Total],Invoices[Status],"Posted",Invoices[Payment method],"Bank / other",Invoices[Invoice date],A52)</f>
      </c>
      <c r="G52" s="2">
        <f>SUMIFS(Invoices[Total],Invoices[Status],"Posted",Invoices[Payment method],"Unpaid",Invoices[Invoice date],A52)</f>
      </c>
      <c r="H52" s="2">
        <f>SUMIFS(Invoices[Total],Invoices[Status],"Posted",Invoices[Invoice date],A52)</f>
      </c>
      <c r="I52">
        <f>COUNTIFS(Invoices[Status],"Posted",Invoices[Invoice date],A52)</f>
      </c>
    </row>
    <row r="53">
      <c r="A53" s="3">
        <f>TODAY()-22</f>
      </c>
      <c r="B53" s="2">
        <f>SUMIFS(Invoices[Total],Invoices[Status],"Posted",Invoices[Payment method],"Cash",Invoices[Invoice date],A53)</f>
      </c>
      <c r="C53" s="2">
        <f>SUMIFS(Invoices[Total],Invoices[Status],"Posted",Invoices[Payment method],"Card",Invoices[Invoice date],A53)</f>
      </c>
      <c r="D53" s="2">
        <f>SUMIFS(Invoices[Total],Invoices[Status],"Posted",Invoices[Payment method],"Free",Invoices[Invoice date],A53)</f>
      </c>
      <c r="E53" s="2">
        <f>SUMIFS(Invoices[Total],Invoices[Status],"Posted",Invoices[Payment method],"Split",Invoices[Invoice date],A53)</f>
      </c>
      <c r="F53" s="2">
        <f>SUMIFS(Invoices[Total],Invoices[Status],"Posted",Invoices[Payment method],"Bank / other",Invoices[Invoice date],A53)</f>
      </c>
      <c r="G53" s="2">
        <f>SUMIFS(Invoices[Total],Invoices[Status],"Posted",Invoices[Payment method],"Unpaid",Invoices[Invoice date],A53)</f>
      </c>
      <c r="H53" s="2">
        <f>SUMIFS(Invoices[Total],Invoices[Status],"Posted",Invoices[Invoice date],A53)</f>
      </c>
      <c r="I53">
        <f>COUNTIFS(Invoices[Status],"Posted",Invoices[Invoice date],A53)</f>
      </c>
    </row>
    <row r="54">
      <c r="A54" s="3">
        <f>TODAY()-23</f>
      </c>
      <c r="B54" s="2">
        <f>SUMIFS(Invoices[Total],Invoices[Status],"Posted",Invoices[Payment method],"Cash",Invoices[Invoice date],A54)</f>
      </c>
      <c r="C54" s="2">
        <f>SUMIFS(Invoices[Total],Invoices[Status],"Posted",Invoices[Payment method],"Card",Invoices[Invoice date],A54)</f>
      </c>
      <c r="D54" s="2">
        <f>SUMIFS(Invoices[Total],Invoices[Status],"Posted",Invoices[Payment method],"Free",Invoices[Invoice date],A54)</f>
      </c>
      <c r="E54" s="2">
        <f>SUMIFS(Invoices[Total],Invoices[Status],"Posted",Invoices[Payment method],"Split",Invoices[Invoice date],A54)</f>
      </c>
      <c r="F54" s="2">
        <f>SUMIFS(Invoices[Total],Invoices[Status],"Posted",Invoices[Payment method],"Bank / other",Invoices[Invoice date],A54)</f>
      </c>
      <c r="G54" s="2">
        <f>SUMIFS(Invoices[Total],Invoices[Status],"Posted",Invoices[Payment method],"Unpaid",Invoices[Invoice date],A54)</f>
      </c>
      <c r="H54" s="2">
        <f>SUMIFS(Invoices[Total],Invoices[Status],"Posted",Invoices[Invoice date],A54)</f>
      </c>
      <c r="I54">
        <f>COUNTIFS(Invoices[Status],"Posted",Invoices[Invoice date],A54)</f>
      </c>
    </row>
    <row r="55">
      <c r="A55" s="3">
        <f>TODAY()-24</f>
      </c>
      <c r="B55" s="2">
        <f>SUMIFS(Invoices[Total],Invoices[Status],"Posted",Invoices[Payment method],"Cash",Invoices[Invoice date],A55)</f>
      </c>
      <c r="C55" s="2">
        <f>SUMIFS(Invoices[Total],Invoices[Status],"Posted",Invoices[Payment method],"Card",Invoices[Invoice date],A55)</f>
      </c>
      <c r="D55" s="2">
        <f>SUMIFS(Invoices[Total],Invoices[Status],"Posted",Invoices[Payment method],"Free",Invoices[Invoice date],A55)</f>
      </c>
      <c r="E55" s="2">
        <f>SUMIFS(Invoices[Total],Invoices[Status],"Posted",Invoices[Payment method],"Split",Invoices[Invoice date],A55)</f>
      </c>
      <c r="F55" s="2">
        <f>SUMIFS(Invoices[Total],Invoices[Status],"Posted",Invoices[Payment method],"Bank / other",Invoices[Invoice date],A55)</f>
      </c>
      <c r="G55" s="2">
        <f>SUMIFS(Invoices[Total],Invoices[Status],"Posted",Invoices[Payment method],"Unpaid",Invoices[Invoice date],A55)</f>
      </c>
      <c r="H55" s="2">
        <f>SUMIFS(Invoices[Total],Invoices[Status],"Posted",Invoices[Invoice date],A55)</f>
      </c>
      <c r="I55">
        <f>COUNTIFS(Invoices[Status],"Posted",Invoices[Invoice date],A55)</f>
      </c>
    </row>
    <row r="56">
      <c r="A56" s="3">
        <f>TODAY()-25</f>
      </c>
      <c r="B56" s="2">
        <f>SUMIFS(Invoices[Total],Invoices[Status],"Posted",Invoices[Payment method],"Cash",Invoices[Invoice date],A56)</f>
      </c>
      <c r="C56" s="2">
        <f>SUMIFS(Invoices[Total],Invoices[Status],"Posted",Invoices[Payment method],"Card",Invoices[Invoice date],A56)</f>
      </c>
      <c r="D56" s="2">
        <f>SUMIFS(Invoices[Total],Invoices[Status],"Posted",Invoices[Payment method],"Free",Invoices[Invoice date],A56)</f>
      </c>
      <c r="E56" s="2">
        <f>SUMIFS(Invoices[Total],Invoices[Status],"Posted",Invoices[Payment method],"Split",Invoices[Invoice date],A56)</f>
      </c>
      <c r="F56" s="2">
        <f>SUMIFS(Invoices[Total],Invoices[Status],"Posted",Invoices[Payment method],"Bank / other",Invoices[Invoice date],A56)</f>
      </c>
      <c r="G56" s="2">
        <f>SUMIFS(Invoices[Total],Invoices[Status],"Posted",Invoices[Payment method],"Unpaid",Invoices[Invoice date],A56)</f>
      </c>
      <c r="H56" s="2">
        <f>SUMIFS(Invoices[Total],Invoices[Status],"Posted",Invoices[Invoice date],A56)</f>
      </c>
      <c r="I56">
        <f>COUNTIFS(Invoices[Status],"Posted",Invoices[Invoice date],A56)</f>
      </c>
    </row>
    <row r="57">
      <c r="A57" s="3">
        <f>TODAY()-26</f>
      </c>
      <c r="B57" s="2">
        <f>SUMIFS(Invoices[Total],Invoices[Status],"Posted",Invoices[Payment method],"Cash",Invoices[Invoice date],A57)</f>
      </c>
      <c r="C57" s="2">
        <f>SUMIFS(Invoices[Total],Invoices[Status],"Posted",Invoices[Payment method],"Card",Invoices[Invoice date],A57)</f>
      </c>
      <c r="D57" s="2">
        <f>SUMIFS(Invoices[Total],Invoices[Status],"Posted",Invoices[Payment method],"Free",Invoices[Invoice date],A57)</f>
      </c>
      <c r="E57" s="2">
        <f>SUMIFS(Invoices[Total],Invoices[Status],"Posted",Invoices[Payment method],"Split",Invoices[Invoice date],A57)</f>
      </c>
      <c r="F57" s="2">
        <f>SUMIFS(Invoices[Total],Invoices[Status],"Posted",Invoices[Payment method],"Bank / other",Invoices[Invoice date],A57)</f>
      </c>
      <c r="G57" s="2">
        <f>SUMIFS(Invoices[Total],Invoices[Status],"Posted",Invoices[Payment method],"Unpaid",Invoices[Invoice date],A57)</f>
      </c>
      <c r="H57" s="2">
        <f>SUMIFS(Invoices[Total],Invoices[Status],"Posted",Invoices[Invoice date],A57)</f>
      </c>
      <c r="I57">
        <f>COUNTIFS(Invoices[Status],"Posted",Invoices[Invoice date],A57)</f>
      </c>
    </row>
    <row r="58">
      <c r="A58" s="3">
        <f>TODAY()-27</f>
      </c>
      <c r="B58" s="2">
        <f>SUMIFS(Invoices[Total],Invoices[Status],"Posted",Invoices[Payment method],"Cash",Invoices[Invoice date],A58)</f>
      </c>
      <c r="C58" s="2">
        <f>SUMIFS(Invoices[Total],Invoices[Status],"Posted",Invoices[Payment method],"Card",Invoices[Invoice date],A58)</f>
      </c>
      <c r="D58" s="2">
        <f>SUMIFS(Invoices[Total],Invoices[Status],"Posted",Invoices[Payment method],"Free",Invoices[Invoice date],A58)</f>
      </c>
      <c r="E58" s="2">
        <f>SUMIFS(Invoices[Total],Invoices[Status],"Posted",Invoices[Payment method],"Split",Invoices[Invoice date],A58)</f>
      </c>
      <c r="F58" s="2">
        <f>SUMIFS(Invoices[Total],Invoices[Status],"Posted",Invoices[Payment method],"Bank / other",Invoices[Invoice date],A58)</f>
      </c>
      <c r="G58" s="2">
        <f>SUMIFS(Invoices[Total],Invoices[Status],"Posted",Invoices[Payment method],"Unpaid",Invoices[Invoice date],A58)</f>
      </c>
      <c r="H58" s="2">
        <f>SUMIFS(Invoices[Total],Invoices[Status],"Posted",Invoices[Invoice date],A58)</f>
      </c>
      <c r="I58">
        <f>COUNTIFS(Invoices[Status],"Posted",Invoices[Invoice date],A58)</f>
      </c>
    </row>
    <row r="59">
      <c r="A59" s="3">
        <f>TODAY()-28</f>
      </c>
      <c r="B59" s="2">
        <f>SUMIFS(Invoices[Total],Invoices[Status],"Posted",Invoices[Payment method],"Cash",Invoices[Invoice date],A59)</f>
      </c>
      <c r="C59" s="2">
        <f>SUMIFS(Invoices[Total],Invoices[Status],"Posted",Invoices[Payment method],"Card",Invoices[Invoice date],A59)</f>
      </c>
      <c r="D59" s="2">
        <f>SUMIFS(Invoices[Total],Invoices[Status],"Posted",Invoices[Payment method],"Free",Invoices[Invoice date],A59)</f>
      </c>
      <c r="E59" s="2">
        <f>SUMIFS(Invoices[Total],Invoices[Status],"Posted",Invoices[Payment method],"Split",Invoices[Invoice date],A59)</f>
      </c>
      <c r="F59" s="2">
        <f>SUMIFS(Invoices[Total],Invoices[Status],"Posted",Invoices[Payment method],"Bank / other",Invoices[Invoice date],A59)</f>
      </c>
      <c r="G59" s="2">
        <f>SUMIFS(Invoices[Total],Invoices[Status],"Posted",Invoices[Payment method],"Unpaid",Invoices[Invoice date],A59)</f>
      </c>
      <c r="H59" s="2">
        <f>SUMIFS(Invoices[Total],Invoices[Status],"Posted",Invoices[Invoice date],A59)</f>
      </c>
      <c r="I59">
        <f>COUNTIFS(Invoices[Status],"Posted",Invoices[Invoice date],A59)</f>
      </c>
    </row>
    <row r="60">
      <c r="A60" s="3">
        <f>TODAY()-29</f>
      </c>
      <c r="B60" s="2">
        <f>SUMIFS(Invoices[Total],Invoices[Status],"Posted",Invoices[Payment method],"Cash",Invoices[Invoice date],A60)</f>
      </c>
      <c r="C60" s="2">
        <f>SUMIFS(Invoices[Total],Invoices[Status],"Posted",Invoices[Payment method],"Card",Invoices[Invoice date],A60)</f>
      </c>
      <c r="D60" s="2">
        <f>SUMIFS(Invoices[Total],Invoices[Status],"Posted",Invoices[Payment method],"Free",Invoices[Invoice date],A60)</f>
      </c>
      <c r="E60" s="2">
        <f>SUMIFS(Invoices[Total],Invoices[Status],"Posted",Invoices[Payment method],"Split",Invoices[Invoice date],A60)</f>
      </c>
      <c r="F60" s="2">
        <f>SUMIFS(Invoices[Total],Invoices[Status],"Posted",Invoices[Payment method],"Bank / other",Invoices[Invoice date],A60)</f>
      </c>
      <c r="G60" s="2">
        <f>SUMIFS(Invoices[Total],Invoices[Status],"Posted",Invoices[Payment method],"Unpaid",Invoices[Invoice date],A60)</f>
      </c>
      <c r="H60" s="2">
        <f>SUMIFS(Invoices[Total],Invoices[Status],"Posted",Invoices[Invoice date],A60)</f>
      </c>
      <c r="I60">
        <f>COUNTIFS(Invoices[Status],"Posted",Invoices[Invoice date],A60)</f>
      </c>
    </row>
    <row r="61">
      <c r="A61" s="3">
        <f>TODAY()-30</f>
      </c>
      <c r="B61" s="2">
        <f>SUMIFS(Invoices[Total],Invoices[Status],"Posted",Invoices[Payment method],"Cash",Invoices[Invoice date],A61)</f>
      </c>
      <c r="C61" s="2">
        <f>SUMIFS(Invoices[Total],Invoices[Status],"Posted",Invoices[Payment method],"Card",Invoices[Invoice date],A61)</f>
      </c>
      <c r="D61" s="2">
        <f>SUMIFS(Invoices[Total],Invoices[Status],"Posted",Invoices[Payment method],"Free",Invoices[Invoice date],A61)</f>
      </c>
      <c r="E61" s="2">
        <f>SUMIFS(Invoices[Total],Invoices[Status],"Posted",Invoices[Payment method],"Split",Invoices[Invoice date],A61)</f>
      </c>
      <c r="F61" s="2">
        <f>SUMIFS(Invoices[Total],Invoices[Status],"Posted",Invoices[Payment method],"Bank / other",Invoices[Invoice date],A61)</f>
      </c>
      <c r="G61" s="2">
        <f>SUMIFS(Invoices[Total],Invoices[Status],"Posted",Invoices[Payment method],"Unpaid",Invoices[Invoice date],A61)</f>
      </c>
      <c r="H61" s="2">
        <f>SUMIFS(Invoices[Total],Invoices[Status],"Posted",Invoices[Invoice date],A61)</f>
      </c>
      <c r="I61">
        <f>COUNTIFS(Invoices[Status],"Posted",Invoices[Invoice date],A61)</f>
      </c>
    </row>
  </sheetData>
</worksheet>
</file>

<file path=xl/worksheets/sheet_x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20" customWidth="1"/>
  </cols>
  <sheetData>
    <row r="1">
      <c r="A1" t="inlineStr" s="4">
        <is>
          <t xml:space="preserve">Odoo invoices – live file</t>
        </is>
      </c>
    </row>
    <row r="3">
      <c r="A3" t="inlineStr">
        <is>
          <t xml:space="preserve">What it is</t>
        </is>
      </c>
      <c r="B3" t="inlineStr">
        <is>
          <t xml:space="preserve">A live copy of every customer invoice and credit note in Odoo (all journals). Read only: nothing in Odoo is changed from here.</t>
        </is>
      </c>
    </row>
    <row r="4">
      <c r="A4" t="inlineStr">
        <is>
          <t xml:space="preserve">Updates</t>
        </is>
      </c>
      <c r="B4" t="inlineStr">
        <is>
          <t xml:space="preserve">Refreshes when the file opens and every 5 min while it is open. Data → Refresh All to refresh now. Odoo → the system: about every minute.</t>
        </is>
      </c>
    </row>
    <row r="5">
      <c r="A5" t="inlineStr">
        <is>
          <t xml:space="preserve">First time</t>
        </is>
      </c>
      <c r="B5" t="inlineStr">
        <is>
          <t xml:space="preserve">If Excel asks: "Enable content" / "Enable editing", and for the web link choose Anonymous → Connect.</t>
        </is>
      </c>
    </row>
    <row r="6">
      <c r="A6" t="inlineStr">
        <is>
          <t xml:space="preserve">Sheets</t>
        </is>
      </c>
      <c r="B6" t="inlineStr">
        <is>
          <t xml:space="preserve">All invoices (the data) · Cash · Card · Free · Unpaid · Credit notes · Other invoices (not valet) · Summary (per month and per day).</t>
        </is>
      </c>
    </row>
    <row r="7">
      <c r="A7" t="inlineStr">
        <is>
          <t xml:space="preserve">Payment method</t>
        </is>
      </c>
      <c r="B7" t="inlineStr">
        <is>
          <t xml:space="preserve">From the journal the payment was registered in (Cash / Card / Bank), Free = 0 AED, Split = more than one, Unpaid / Draft / Cancelled.</t>
        </is>
      </c>
    </row>
    <row r="8">
      <c r="A8" t="inlineStr">
        <is>
          <t xml:space="preserve">Valet columns</t>
        </is>
      </c>
      <c r="B8" t="inlineStr">
        <is>
          <t xml:space="preserve">Ticket, point, area and client come from the valet system (valet invoices only).</t>
        </is>
      </c>
    </row>
    <row r="9">
      <c r="A9" t="inlineStr">
        <is>
          <t xml:space="preserve">Link</t>
        </is>
      </c>
      <c r="B9" t="inlineStr">
        <is>
          <t xml:space="preserve">Private. If the link is renewed in the dashboard, this file stops and a new one must be downloaded.</t>
        </is>
      </c>
    </row>
    <row r="11">
      <c r="A11" t="inlineStr" s="1">
        <is>
          <t xml:space="preserve">Millions of rows</t>
        </is>
      </c>
      <c r="B11" t="inlineStr">
        <is>
          <t xml:space="preserve">A sheet holds about 1 million rows. To keep every invoice anyway, load the query into the Data Model (once):</t>
        </is>
      </c>
    </row>
    <row r="12">
      <c r="B12" t="inlineStr">
        <is>
          <t xml:space="preserve">1. Data → Queries &amp; Connections → right click "Invoices" → Load To…</t>
        </is>
      </c>
    </row>
    <row r="13">
      <c r="B13" t="inlineStr">
        <is>
          <t xml:space="preserve">2. Choose "PivotTable Report" (or "Only Create Connection") and tick "Add this data to the Data Model" → OK (Excel asks to delete the sheet table: yes).</t>
        </is>
      </c>
    </row>
    <row r="14">
      <c r="B14" t="inlineStr">
        <is>
          <t xml:space="preserve">3. The PivotTable reads the Data Model (millions of rows) and refreshes with the query. The filtered sheets and the Summary need the sheet table, so use the PivotTable instead.</t>
        </is>
      </c>
    </row>
    <row r="15">
      <c r="B15" t="inlineStr">
        <is>
          <t xml:space="preserve">Or download the "Totals" file (one row per day / point / payment method) or a "Period" file from the dashboard – they stay small.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2026-10-30T01:55:25.107Z</dcterms:created>
  <dcterms:modified xsi:type="dcterms:W3CDTF">2026-10-30T01:55:25.107Z</dcterms:modified>
  <dc:title>Odoo invoices – live</dc:title>
  <dc:creator>VIP Valet</dc:creator>
  <dc:description>Live copy of the Odoo customer invoices (refreshes itself)</dc:description>
</cp:coreProperties>
</file>